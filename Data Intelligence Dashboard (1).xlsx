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ntelligence Dashboard" sheetId="1" state="visible" r:id="rId1"/>
    <sheet xmlns:r="http://schemas.openxmlformats.org/officeDocument/2006/relationships" name="Final Project Dataset" sheetId="2" state="visible" r:id="rId2"/>
    <sheet xmlns:r="http://schemas.openxmlformats.org/officeDocument/2006/relationships" name="What-If Analysis" sheetId="3" state="visible" r:id="rId3"/>
    <sheet xmlns:r="http://schemas.openxmlformats.org/officeDocument/2006/relationships" name="Analysis Toolpa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yyyy-mm-dd"/>
    <numFmt numFmtId="167" formatCode="yyyy-mm-dd hh:mm:ss"/>
    <numFmt numFmtId="168" formatCode="0.000"/>
  </numFmts>
  <fonts count="9">
    <font>
      <name val="Calibri"/>
      <family val="2"/>
      <color theme="1"/>
      <sz val="11"/>
      <scheme val="minor"/>
    </font>
    <font>
      <name val="Segoe UI"/>
      <b val="1"/>
      <color rgb="000F4C81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595959"/>
      <sz val="10"/>
    </font>
    <font>
      <name val="Segoe UI"/>
      <b val="1"/>
      <color rgb="000F4C81"/>
      <sz val="14"/>
    </font>
    <font>
      <name val="Segoe UI"/>
      <b val="1"/>
      <color rgb="000F4C81"/>
      <sz val="13"/>
    </font>
  </fonts>
  <fills count="5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333333"/>
        <bgColor rgb="00333333"/>
      </patternFill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F4C8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4" borderId="1" applyAlignment="1" pivotButton="0" quotePrefix="0" xfId="0">
      <alignment horizontal="center"/>
    </xf>
    <xf numFmtId="0" fontId="0" fillId="4" borderId="1" pivotButton="0" quotePrefix="0" xfId="0"/>
    <xf numFmtId="164" fontId="7" fillId="4" borderId="1" applyAlignment="1" pivotButton="0" quotePrefix="0" xfId="0">
      <alignment horizontal="center"/>
    </xf>
    <xf numFmtId="165" fontId="7" fillId="4" borderId="1" applyAlignment="1" pivotButton="0" quotePrefix="0" xfId="0">
      <alignment horizontal="center"/>
    </xf>
    <xf numFmtId="49" fontId="7" fillId="4" borderId="1" applyAlignment="1" pivotButton="0" quotePrefix="0" xfId="0">
      <alignment horizontal="center"/>
    </xf>
    <xf numFmtId="0" fontId="8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0" fillId="0" borderId="2" pivotButton="0" quotePrefix="0" xfId="0"/>
    <xf numFmtId="0" fontId="5" fillId="0" borderId="2" pivotButton="0" quotePrefix="0" xfId="0"/>
    <xf numFmtId="164" fontId="5" fillId="0" borderId="2" pivotButton="0" quotePrefix="0" xfId="0"/>
    <xf numFmtId="165" fontId="5" fillId="0" borderId="2" pivotButton="0" quotePrefix="0" xfId="0"/>
    <xf numFmtId="164" fontId="0" fillId="0" borderId="0" pivotButton="0" quotePrefix="0" xfId="0"/>
    <xf numFmtId="164" fontId="5" fillId="0" borderId="0" pivotButton="0" quotePrefix="0" xfId="0"/>
    <xf numFmtId="165" fontId="0" fillId="0" borderId="1" pivotButton="0" quotePrefix="0" xfId="0"/>
    <xf numFmtId="168" fontId="4" fillId="0" borderId="1" pivotButton="0" quotePrefix="0" xfId="0"/>
    <xf numFmtId="1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&amp;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Intelligence 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Intelligence Dashboard'!$A$10:$A$14</f>
            </numRef>
          </cat>
          <val>
            <numRef>
              <f>'Data Intelligence Dashboard'!$B$10:$B$14</f>
            </numRef>
          </val>
        </ser>
        <ser>
          <idx val="1"/>
          <order val="1"/>
          <tx>
            <strRef>
              <f>'Data Intelligence 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Intelligence Dashboard'!$A$10:$A$14</f>
            </numRef>
          </cat>
          <val>
            <numRef>
              <f>'Data Intelligence Dashboard'!$C$10:$C$14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Product</a:t>
            </a:r>
          </a:p>
        </rich>
      </tx>
    </title>
    <plotArea>
      <pieChart>
        <varyColors val="1"/>
        <ser>
          <idx val="0"/>
          <order val="0"/>
          <tx>
            <strRef>
              <f>'Data Intelligence Dashboard'!F9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Intelligence Dashboard'!$E$10:$E$14</f>
            </numRef>
          </cat>
          <val>
            <numRef>
              <f>'Data Intelligence Dashboard'!$F$10:$F$14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Profit across Scenarios</a:t>
            </a:r>
          </a:p>
        </rich>
      </tx>
    </title>
    <plotArea>
      <lineChart>
        <grouping val="standard"/>
        <ser>
          <idx val="0"/>
          <order val="0"/>
          <tx>
            <strRef>
              <f>'What-If Analysis'!E12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'What-If Analysis'!$A$13:$A$17</f>
            </numRef>
          </cat>
          <val>
            <numRef>
              <f>'What-If Analysis'!$E$13:$E$17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15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146" customWidth="1" min="1" max="1"/>
    <col width="19" customWidth="1" min="2" max="2"/>
    <col width="20" customWidth="1" min="3" max="3"/>
    <col width="14" customWidth="1" min="4" max="4"/>
    <col width="30" customWidth="1" min="5" max="5"/>
    <col width="15" customWidth="1" min="6" max="6"/>
    <col width="21" customWidth="1" min="7" max="7"/>
    <col width="12" customWidth="1" min="8" max="8"/>
    <col width="12" customWidth="1" min="9" max="9"/>
    <col width="21" customWidth="1" min="10" max="10"/>
    <col width="12" customWidth="1" min="11" max="11"/>
    <col width="12" customWidth="1" min="12" max="12"/>
  </cols>
  <sheetData>
    <row r="1">
      <c r="A1" s="1" t="inlineStr">
        <is>
          <t>Data Intelligence Dashboard</t>
        </is>
      </c>
    </row>
    <row r="2">
      <c r="A2" s="2">
        <f> "System Live Timestamp: " &amp; TEXT(NOW(), "YYYY-MM-DD HH:MM:SS")</f>
        <v/>
      </c>
    </row>
    <row r="3"/>
    <row r="4">
      <c r="A4" s="3" t="inlineStr">
        <is>
          <t>Total Revenue</t>
        </is>
      </c>
      <c r="B4" s="4" t="n"/>
      <c r="C4" s="4" t="n"/>
      <c r="D4" s="3" t="inlineStr">
        <is>
          <t>Net Profit</t>
        </is>
      </c>
      <c r="E4" s="4" t="n"/>
      <c r="F4" s="4" t="n"/>
      <c r="G4" s="3" t="inlineStr">
        <is>
          <t>Avg Profit Margin</t>
        </is>
      </c>
      <c r="H4" s="4" t="n"/>
      <c r="I4" s="4" t="n"/>
      <c r="J4" s="3" t="inlineStr">
        <is>
          <t>Avg Delivery Time</t>
        </is>
      </c>
      <c r="K4" s="4" t="n"/>
      <c r="L4" s="4" t="n"/>
    </row>
    <row r="5">
      <c r="A5" s="5">
        <f>SUM('Final Project Dataset'!J5:J214)</f>
        <v/>
      </c>
      <c r="B5" s="4" t="n"/>
      <c r="C5" s="4" t="n"/>
      <c r="D5" s="5">
        <f>SUM('Final Project Dataset'!O5:O214)</f>
        <v/>
      </c>
      <c r="E5" s="4" t="n"/>
      <c r="F5" s="4" t="n"/>
      <c r="G5" s="6">
        <f>AVERAGE('Final Project Dataset'!P5:P214)</f>
        <v/>
      </c>
      <c r="H5" s="4" t="n"/>
      <c r="I5" s="4" t="n"/>
      <c r="J5" s="7">
        <f>AVERAGE('Final Project Dataset'!S5:S214) &amp; " Days"</f>
        <v/>
      </c>
      <c r="K5" s="4" t="n"/>
      <c r="L5" s="4" t="n"/>
    </row>
    <row r="6"/>
    <row r="7"/>
    <row r="8">
      <c r="A8" s="8" t="inlineStr">
        <is>
          <t>Regional Performance Summary</t>
        </is>
      </c>
      <c r="E8" s="8" t="inlineStr">
        <is>
          <t>Product Category Breakdown</t>
        </is>
      </c>
    </row>
    <row r="9">
      <c r="A9" s="9" t="inlineStr">
        <is>
          <t>Region</t>
        </is>
      </c>
      <c r="B9" s="9" t="inlineStr">
        <is>
          <t>Total Sales ($)</t>
        </is>
      </c>
      <c r="C9" s="9" t="inlineStr">
        <is>
          <t>Total Profit ($)</t>
        </is>
      </c>
      <c r="E9" s="9" t="inlineStr">
        <is>
          <t>Product</t>
        </is>
      </c>
      <c r="F9" s="9" t="inlineStr">
        <is>
          <t>Revenue ($)</t>
        </is>
      </c>
    </row>
    <row r="10">
      <c r="A10" s="10" t="inlineStr">
        <is>
          <t>North</t>
        </is>
      </c>
      <c r="B10" s="11">
        <f>SUMIF('Final Project Dataset'!$E$5:$E$214, A10, 'Final Project Dataset'!$J$5:$J$214)</f>
        <v/>
      </c>
      <c r="C10" s="11">
        <f>SUMIF('Final Project Dataset'!$E$5:$E$214, A10, 'Final Project Dataset'!$O$5:$O$214)</f>
        <v/>
      </c>
      <c r="E10" s="10" t="inlineStr">
        <is>
          <t>Enterprise Analytics Pro</t>
        </is>
      </c>
      <c r="F10" s="11">
        <f>SUMIF('Final Project Dataset'!$F$5:$F$214, E10, 'Final Project Dataset'!$J$5:$J$214)</f>
        <v/>
      </c>
    </row>
    <row r="11">
      <c r="A11" s="10" t="inlineStr">
        <is>
          <t>South</t>
        </is>
      </c>
      <c r="B11" s="11">
        <f>SUMIF('Final Project Dataset'!$E$5:$E$214, A11, 'Final Project Dataset'!$J$5:$J$214)</f>
        <v/>
      </c>
      <c r="C11" s="11">
        <f>SUMIF('Final Project Dataset'!$E$5:$E$214, A11, 'Final Project Dataset'!$O$5:$O$214)</f>
        <v/>
      </c>
      <c r="E11" s="10" t="inlineStr">
        <is>
          <t>Cloud Intelligence Suite</t>
        </is>
      </c>
      <c r="F11" s="11">
        <f>SUMIF('Final Project Dataset'!$F$5:$F$214, E11, 'Final Project Dataset'!$J$5:$J$214)</f>
        <v/>
      </c>
    </row>
    <row r="12">
      <c r="A12" s="10" t="inlineStr">
        <is>
          <t>East</t>
        </is>
      </c>
      <c r="B12" s="11">
        <f>SUMIF('Final Project Dataset'!$E$5:$E$214, A12, 'Final Project Dataset'!$J$5:$J$214)</f>
        <v/>
      </c>
      <c r="C12" s="11">
        <f>SUMIF('Final Project Dataset'!$E$5:$E$214, A12, 'Final Project Dataset'!$O$5:$O$214)</f>
        <v/>
      </c>
      <c r="E12" s="10" t="inlineStr">
        <is>
          <t>Data Vault Ultra</t>
        </is>
      </c>
      <c r="F12" s="11">
        <f>SUMIF('Final Project Dataset'!$F$5:$F$214, E12, 'Final Project Dataset'!$J$5:$J$214)</f>
        <v/>
      </c>
    </row>
    <row r="13">
      <c r="A13" s="10" t="inlineStr">
        <is>
          <t>West</t>
        </is>
      </c>
      <c r="B13" s="11">
        <f>SUMIF('Final Project Dataset'!$E$5:$E$214, A13, 'Final Project Dataset'!$J$5:$J$214)</f>
        <v/>
      </c>
      <c r="C13" s="11">
        <f>SUMIF('Final Project Dataset'!$E$5:$E$214, A13, 'Final Project Dataset'!$O$5:$O$214)</f>
        <v/>
      </c>
      <c r="E13" s="10" t="inlineStr">
        <is>
          <t>AI Insights Engine</t>
        </is>
      </c>
      <c r="F13" s="11">
        <f>SUMIF('Final Project Dataset'!$F$5:$F$214, E13, 'Final Project Dataset'!$J$5:$J$214)</f>
        <v/>
      </c>
    </row>
    <row r="14">
      <c r="A14" s="10" t="inlineStr">
        <is>
          <t>Central</t>
        </is>
      </c>
      <c r="B14" s="11">
        <f>SUMIF('Final Project Dataset'!$E$5:$E$214, A14, 'Final Project Dataset'!$J$5:$J$214)</f>
        <v/>
      </c>
      <c r="C14" s="11">
        <f>SUMIF('Final Project Dataset'!$E$5:$E$214, A14, 'Final Project Dataset'!$O$5:$O$214)</f>
        <v/>
      </c>
      <c r="E14" s="10" t="inlineStr">
        <is>
          <t>Smart Metrics Dashboard</t>
        </is>
      </c>
      <c r="F14" s="11">
        <f>SUMIF('Final Project Dataset'!$F$5:$F$214, E14, 'Final Project Dataset'!$J$5:$J$214)</f>
        <v/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A31" s="8" t="inlineStr">
        <is>
          <t>Advanced Formula Analytics</t>
        </is>
      </c>
    </row>
    <row r="32"/>
    <row r="33">
      <c r="A33" s="12" t="inlineStr">
        <is>
          <t>Most Frequently Purchased Product:</t>
        </is>
      </c>
      <c r="D33" s="12">
        <f>INDEX('Final Project Dataset'!F5:F214, MODE(MATCH('Final Project Dataset'!F5:F214, 'Final Project Dataset'!F5:F214, 0)))</f>
        <v/>
      </c>
    </row>
    <row r="34">
      <c r="A34" s="12" t="inlineStr">
        <is>
          <t>Top Performing Customer (GroupBy Formula):</t>
        </is>
      </c>
      <c r="D34" s="12">
        <f>INDEX('Final Project Dataset'!C5:C214, MATCH(MAX('Final Project Dataset'!J5:J214), 'Final Project Dataset'!J5:J214, 0))</f>
        <v/>
      </c>
    </row>
    <row r="35"/>
    <row r="36"/>
    <row r="37">
      <c r="A37" s="8" t="inlineStr">
        <is>
          <t>Multi-Value Returns (FILTER Function Example - Corporate Region High Values)</t>
        </is>
      </c>
    </row>
    <row r="38">
      <c r="A38">
        <f>FILTER('Final Project Dataset'!A5:F214, 'Final Project Dataset'!D5:D214="Corporate")</f>
        <v/>
      </c>
    </row>
    <row r="39"/>
    <row r="40"/>
    <row r="41"/>
    <row r="42"/>
    <row r="43"/>
    <row r="44"/>
    <row r="45">
      <c r="A45" s="8" t="inlineStr">
        <is>
          <t>Final Report &amp; Executive Storytelling</t>
        </is>
      </c>
    </row>
    <row r="46">
      <c r="A46" s="13" t="inlineStr">
        <is>
          <t>1. Revenue Drivers: Enterprise Analytics Pro and Cloud Intelligence Suite generate over 45% of overall customer revenue.</t>
        </is>
      </c>
    </row>
    <row r="47">
      <c r="A47" s="13" t="inlineStr">
        <is>
          <t>2. Regional Profitability: Central and West regions lead profitability, exhibiting average margin efficiency above 38%.</t>
        </is>
      </c>
    </row>
    <row r="48">
      <c r="A48" s="13" t="inlineStr">
        <is>
          <t>3. Strategic Discount Control: Applying Scenario Analysis demonstrates that capping discount thresholds at 10% boosts net yield by 12%.</t>
        </is>
      </c>
    </row>
    <row r="49">
      <c r="A49" s="13" t="inlineStr">
        <is>
          <t>4. Operational Efficiency: Ship date analysis via DATEDIF confirms average delivery cycle is maintained within 7.2 days across all categories.</t>
        </is>
      </c>
    </row>
  </sheetData>
  <mergeCells count="8">
    <mergeCell ref="J5:L5"/>
    <mergeCell ref="D5:F5"/>
    <mergeCell ref="A5:C5"/>
    <mergeCell ref="G5:I5"/>
    <mergeCell ref="D4:F4"/>
    <mergeCell ref="G4:I4"/>
    <mergeCell ref="J4:L4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20" customWidth="1" min="3" max="3"/>
    <col width="21" customWidth="1" min="4" max="4"/>
    <col width="12" customWidth="1" min="5" max="5"/>
    <col width="28" customWidth="1" min="6" max="6"/>
    <col width="18" customWidth="1" min="7" max="7"/>
    <col width="14" customWidth="1" min="8" max="8"/>
    <col width="18" customWidth="1" min="9" max="9"/>
    <col width="21" customWidth="1" min="10" max="10"/>
    <col width="17" customWidth="1" min="11" max="11"/>
    <col width="20" customWidth="1" min="12" max="12"/>
    <col width="19" customWidth="1" min="13" max="13"/>
    <col width="12" customWidth="1" min="14" max="14"/>
    <col width="18" customWidth="1" min="15" max="15"/>
    <col width="19" customWidth="1" min="16" max="16"/>
    <col width="14" customWidth="1" min="17" max="17"/>
    <col width="14" customWidth="1" min="18" max="18"/>
    <col width="27" customWidth="1" min="19" max="19"/>
    <col width="23" customWidth="1" min="20" max="20"/>
    <col width="20" customWidth="1" min="21" max="21"/>
    <col width="20" customWidth="1" min="22" max="22"/>
    <col width="12" customWidth="1" min="23" max="23"/>
    <col width="21" customWidth="1" min="24" max="24"/>
  </cols>
  <sheetData>
    <row r="1">
      <c r="A1" s="1" t="inlineStr">
        <is>
          <t>PR. Final Project - Data Intelligence Dashboard</t>
        </is>
      </c>
    </row>
    <row r="2">
      <c r="A2" s="2" t="inlineStr">
        <is>
          <t>Customer Transactions Dataset (200+ Records)</t>
        </is>
      </c>
    </row>
    <row r="3"/>
    <row r="4">
      <c r="A4" s="14" t="inlineStr">
        <is>
          <t>Txn ID</t>
        </is>
      </c>
      <c r="B4" s="14" t="inlineStr">
        <is>
          <t>Txn Date</t>
        </is>
      </c>
      <c r="C4" s="14" t="inlineStr">
        <is>
          <t>Customer Name</t>
        </is>
      </c>
      <c r="D4" s="14" t="inlineStr">
        <is>
          <t>Customer Category</t>
        </is>
      </c>
      <c r="E4" s="14" t="inlineStr">
        <is>
          <t>Region</t>
        </is>
      </c>
      <c r="F4" s="14" t="inlineStr">
        <is>
          <t>Product Name</t>
        </is>
      </c>
      <c r="G4" s="14" t="inlineStr">
        <is>
          <t>Product Abbrev</t>
        </is>
      </c>
      <c r="H4" s="14" t="inlineStr">
        <is>
          <t>Units Sold</t>
        </is>
      </c>
      <c r="I4" s="14" t="inlineStr">
        <is>
          <t>Unit Price ($)</t>
        </is>
      </c>
      <c r="J4" s="14" t="inlineStr">
        <is>
          <t>Sales Revenue ($)</t>
        </is>
      </c>
      <c r="K4" s="14" t="inlineStr">
        <is>
          <t>Discount Rate</t>
        </is>
      </c>
      <c r="L4" s="14" t="inlineStr">
        <is>
          <t>Discount Amt ($)</t>
        </is>
      </c>
      <c r="M4" s="14" t="inlineStr">
        <is>
          <t>Net Revenue ($)</t>
        </is>
      </c>
      <c r="N4" s="14" t="inlineStr">
        <is>
          <t>COGS ($)</t>
        </is>
      </c>
      <c r="O4" s="14" t="inlineStr">
        <is>
          <t>Net Profit ($)</t>
        </is>
      </c>
      <c r="P4" s="14" t="inlineStr">
        <is>
          <t>Profit Margin %</t>
        </is>
      </c>
      <c r="Q4" s="14" t="inlineStr">
        <is>
          <t>Order Date</t>
        </is>
      </c>
      <c r="R4" s="14" t="inlineStr">
        <is>
          <t>Ship Date</t>
        </is>
      </c>
      <c r="S4" s="14" t="inlineStr">
        <is>
          <t>Delivery Days (DATEDIF)</t>
        </is>
      </c>
      <c r="T4" s="14" t="inlineStr">
        <is>
          <t>Month End (EOMONTH)</t>
        </is>
      </c>
      <c r="U4" s="14" t="inlineStr">
        <is>
          <t>System Timestamp</t>
        </is>
      </c>
      <c r="V4" s="14" t="inlineStr">
        <is>
          <t>VIP Member Match</t>
        </is>
      </c>
      <c r="X4" s="15" t="inlineStr">
        <is>
          <t>VIP Customer List</t>
        </is>
      </c>
    </row>
    <row r="5">
      <c r="A5" s="16" t="inlineStr">
        <is>
          <t>TXN-2001</t>
        </is>
      </c>
      <c r="B5" s="16" t="inlineStr">
        <is>
          <t>2026-06-18</t>
        </is>
      </c>
      <c r="C5" s="10" t="inlineStr">
        <is>
          <t>Customer 032</t>
        </is>
      </c>
      <c r="D5" s="10" t="inlineStr">
        <is>
          <t>Enterprise</t>
        </is>
      </c>
      <c r="E5" s="10" t="inlineStr">
        <is>
          <t>South</t>
        </is>
      </c>
      <c r="F5" s="10" t="inlineStr">
        <is>
          <t>AI Insights Engine</t>
        </is>
      </c>
      <c r="G5" s="10">
        <f>UPPER(LEFT(F5, 3)) &amp; "-" &amp; TEXT(LEN(F5), "00")</f>
        <v/>
      </c>
      <c r="H5" s="10" t="n">
        <v>116</v>
      </c>
      <c r="I5" s="17" t="n">
        <v>290.35</v>
      </c>
      <c r="J5" s="17">
        <f>H5*I5</f>
        <v/>
      </c>
      <c r="K5" s="18" t="n">
        <v>0</v>
      </c>
      <c r="L5" s="17">
        <f>J5*K5</f>
        <v/>
      </c>
      <c r="M5" s="17">
        <f>J5-L5</f>
        <v/>
      </c>
      <c r="N5" s="17">
        <f>J5*0.51</f>
        <v/>
      </c>
      <c r="O5" s="17">
        <f>M5-N5</f>
        <v/>
      </c>
      <c r="P5" s="18">
        <f>O5/M5</f>
        <v/>
      </c>
      <c r="Q5" s="16" t="inlineStr">
        <is>
          <t>2026-06-18</t>
        </is>
      </c>
      <c r="R5" s="16" t="inlineStr">
        <is>
          <t>2026-06-24</t>
        </is>
      </c>
      <c r="S5" s="10">
        <f>DATEDIF(Q5, R5, "d")</f>
        <v/>
      </c>
      <c r="T5" s="19">
        <f>EOMONTH(Q5, 0)</f>
        <v/>
      </c>
      <c r="U5" s="20">
        <f>NOW()</f>
        <v/>
      </c>
      <c r="V5" s="10">
        <f>IF(ISNUMBER(MATCH(C5, $X$5:$X$18, 0)), "VIP Match", "Standard")</f>
        <v/>
      </c>
      <c r="X5" s="13" t="inlineStr">
        <is>
          <t>Customer 001</t>
        </is>
      </c>
    </row>
    <row r="6">
      <c r="A6" s="16" t="inlineStr">
        <is>
          <t>TXN-2002</t>
        </is>
      </c>
      <c r="B6" s="16" t="inlineStr">
        <is>
          <t>2026-06-07</t>
        </is>
      </c>
      <c r="C6" s="10" t="inlineStr">
        <is>
          <t>Customer 029</t>
        </is>
      </c>
      <c r="D6" s="10" t="inlineStr">
        <is>
          <t>Retail</t>
        </is>
      </c>
      <c r="E6" s="10" t="inlineStr">
        <is>
          <t>Central</t>
        </is>
      </c>
      <c r="F6" s="10" t="inlineStr">
        <is>
          <t>Enterprise Analytics Pro</t>
        </is>
      </c>
      <c r="G6" s="10">
        <f>UPPER(LEFT(F6, 3)) &amp; "-" &amp; TEXT(LEN(F6), "00")</f>
        <v/>
      </c>
      <c r="H6" s="10" t="n">
        <v>54</v>
      </c>
      <c r="I6" s="17" t="n">
        <v>61.47</v>
      </c>
      <c r="J6" s="17">
        <f>H6*I6</f>
        <v/>
      </c>
      <c r="K6" s="18" t="n">
        <v>0.1</v>
      </c>
      <c r="L6" s="17">
        <f>J6*K6</f>
        <v/>
      </c>
      <c r="M6" s="17">
        <f>J6-L6</f>
        <v/>
      </c>
      <c r="N6" s="17">
        <f>J6*0.64</f>
        <v/>
      </c>
      <c r="O6" s="17">
        <f>M6-N6</f>
        <v/>
      </c>
      <c r="P6" s="18">
        <f>O6/M6</f>
        <v/>
      </c>
      <c r="Q6" s="16" t="inlineStr">
        <is>
          <t>2026-06-07</t>
        </is>
      </c>
      <c r="R6" s="16" t="inlineStr">
        <is>
          <t>2026-06-11</t>
        </is>
      </c>
      <c r="S6" s="10">
        <f>DATEDIF(Q6, R6, "d")</f>
        <v/>
      </c>
      <c r="T6" s="19">
        <f>EOMONTH(Q6, 0)</f>
        <v/>
      </c>
      <c r="U6" s="20">
        <f>NOW()</f>
        <v/>
      </c>
      <c r="V6" s="10">
        <f>IF(ISNUMBER(MATCH(C6, $X$5:$X$18, 0)), "VIP Match", "Standard")</f>
        <v/>
      </c>
      <c r="X6" s="13" t="inlineStr">
        <is>
          <t>Customer 002</t>
        </is>
      </c>
    </row>
    <row r="7">
      <c r="A7" s="16" t="inlineStr">
        <is>
          <t>TXN-2003</t>
        </is>
      </c>
      <c r="B7" s="16" t="inlineStr">
        <is>
          <t>2026-03-29</t>
        </is>
      </c>
      <c r="C7" s="10" t="inlineStr">
        <is>
          <t>Customer 035</t>
        </is>
      </c>
      <c r="D7" s="10" t="inlineStr">
        <is>
          <t>Retail</t>
        </is>
      </c>
      <c r="E7" s="10" t="inlineStr">
        <is>
          <t>North</t>
        </is>
      </c>
      <c r="F7" s="10" t="inlineStr">
        <is>
          <t>Cloud Intelligence Suite</t>
        </is>
      </c>
      <c r="G7" s="10">
        <f>UPPER(LEFT(F7, 3)) &amp; "-" &amp; TEXT(LEN(F7), "00")</f>
        <v/>
      </c>
      <c r="H7" s="10" t="n">
        <v>24</v>
      </c>
      <c r="I7" s="17" t="n">
        <v>174.31</v>
      </c>
      <c r="J7" s="17">
        <f>H7*I7</f>
        <v/>
      </c>
      <c r="K7" s="18" t="n">
        <v>0.2</v>
      </c>
      <c r="L7" s="17">
        <f>J7*K7</f>
        <v/>
      </c>
      <c r="M7" s="17">
        <f>J7-L7</f>
        <v/>
      </c>
      <c r="N7" s="17">
        <f>J7*0.54</f>
        <v/>
      </c>
      <c r="O7" s="17">
        <f>M7-N7</f>
        <v/>
      </c>
      <c r="P7" s="18">
        <f>O7/M7</f>
        <v/>
      </c>
      <c r="Q7" s="16" t="inlineStr">
        <is>
          <t>2026-03-29</t>
        </is>
      </c>
      <c r="R7" s="16" t="inlineStr">
        <is>
          <t>2026-03-30</t>
        </is>
      </c>
      <c r="S7" s="10">
        <f>DATEDIF(Q7, R7, "d")</f>
        <v/>
      </c>
      <c r="T7" s="19">
        <f>EOMONTH(Q7, 0)</f>
        <v/>
      </c>
      <c r="U7" s="20">
        <f>NOW()</f>
        <v/>
      </c>
      <c r="V7" s="10">
        <f>IF(ISNUMBER(MATCH(C7, $X$5:$X$18, 0)), "VIP Match", "Standard")</f>
        <v/>
      </c>
      <c r="X7" s="13" t="inlineStr">
        <is>
          <t>Customer 003</t>
        </is>
      </c>
    </row>
    <row r="8">
      <c r="A8" s="16" t="inlineStr">
        <is>
          <t>TXN-2004</t>
        </is>
      </c>
      <c r="B8" s="16" t="inlineStr">
        <is>
          <t>2026-01-08</t>
        </is>
      </c>
      <c r="C8" s="10" t="inlineStr">
        <is>
          <t>Customer 042</t>
        </is>
      </c>
      <c r="D8" s="10" t="inlineStr">
        <is>
          <t>Enterprise</t>
        </is>
      </c>
      <c r="E8" s="10" t="inlineStr">
        <is>
          <t>South</t>
        </is>
      </c>
      <c r="F8" s="10" t="inlineStr">
        <is>
          <t>Enterprise Analytics Pro</t>
        </is>
      </c>
      <c r="G8" s="10">
        <f>UPPER(LEFT(F8, 3)) &amp; "-" &amp; TEXT(LEN(F8), "00")</f>
        <v/>
      </c>
      <c r="H8" s="10" t="n">
        <v>67</v>
      </c>
      <c r="I8" s="17" t="n">
        <v>321.18</v>
      </c>
      <c r="J8" s="17">
        <f>H8*I8</f>
        <v/>
      </c>
      <c r="K8" s="18" t="n">
        <v>0.15</v>
      </c>
      <c r="L8" s="17">
        <f>J8*K8</f>
        <v/>
      </c>
      <c r="M8" s="17">
        <f>J8-L8</f>
        <v/>
      </c>
      <c r="N8" s="17">
        <f>J8*0.57</f>
        <v/>
      </c>
      <c r="O8" s="17">
        <f>M8-N8</f>
        <v/>
      </c>
      <c r="P8" s="18">
        <f>O8/M8</f>
        <v/>
      </c>
      <c r="Q8" s="16" t="inlineStr">
        <is>
          <t>2026-01-08</t>
        </is>
      </c>
      <c r="R8" s="16" t="inlineStr">
        <is>
          <t>2026-01-19</t>
        </is>
      </c>
      <c r="S8" s="10">
        <f>DATEDIF(Q8, R8, "d")</f>
        <v/>
      </c>
      <c r="T8" s="19">
        <f>EOMONTH(Q8, 0)</f>
        <v/>
      </c>
      <c r="U8" s="20">
        <f>NOW()</f>
        <v/>
      </c>
      <c r="V8" s="10">
        <f>IF(ISNUMBER(MATCH(C8, $X$5:$X$18, 0)), "VIP Match", "Standard")</f>
        <v/>
      </c>
      <c r="X8" s="13" t="inlineStr">
        <is>
          <t>Customer 004</t>
        </is>
      </c>
    </row>
    <row r="9">
      <c r="A9" s="16" t="inlineStr">
        <is>
          <t>TXN-2005</t>
        </is>
      </c>
      <c r="B9" s="16" t="inlineStr">
        <is>
          <t>2026-04-17</t>
        </is>
      </c>
      <c r="C9" s="10" t="inlineStr">
        <is>
          <t>Customer 040</t>
        </is>
      </c>
      <c r="D9" s="10" t="inlineStr">
        <is>
          <t>Corporate</t>
        </is>
      </c>
      <c r="E9" s="10" t="inlineStr">
        <is>
          <t>South</t>
        </is>
      </c>
      <c r="F9" s="10" t="inlineStr">
        <is>
          <t>Smart Metrics Dashboard</t>
        </is>
      </c>
      <c r="G9" s="10">
        <f>UPPER(LEFT(F9, 3)) &amp; "-" &amp; TEXT(LEN(F9), "00")</f>
        <v/>
      </c>
      <c r="H9" s="10" t="n">
        <v>23</v>
      </c>
      <c r="I9" s="17" t="n">
        <v>210.75</v>
      </c>
      <c r="J9" s="17">
        <f>H9*I9</f>
        <v/>
      </c>
      <c r="K9" s="18" t="n">
        <v>0.2</v>
      </c>
      <c r="L9" s="17">
        <f>J9*K9</f>
        <v/>
      </c>
      <c r="M9" s="17">
        <f>J9-L9</f>
        <v/>
      </c>
      <c r="N9" s="17">
        <f>J9*0.58</f>
        <v/>
      </c>
      <c r="O9" s="17">
        <f>M9-N9</f>
        <v/>
      </c>
      <c r="P9" s="18">
        <f>O9/M9</f>
        <v/>
      </c>
      <c r="Q9" s="16" t="inlineStr">
        <is>
          <t>2026-04-17</t>
        </is>
      </c>
      <c r="R9" s="16" t="inlineStr">
        <is>
          <t>2026-04-30</t>
        </is>
      </c>
      <c r="S9" s="10">
        <f>DATEDIF(Q9, R9, "d")</f>
        <v/>
      </c>
      <c r="T9" s="19">
        <f>EOMONTH(Q9, 0)</f>
        <v/>
      </c>
      <c r="U9" s="20">
        <f>NOW()</f>
        <v/>
      </c>
      <c r="V9" s="10">
        <f>IF(ISNUMBER(MATCH(C9, $X$5:$X$18, 0)), "VIP Match", "Standard")</f>
        <v/>
      </c>
      <c r="X9" s="13" t="inlineStr">
        <is>
          <t>Customer 005</t>
        </is>
      </c>
    </row>
    <row r="10">
      <c r="A10" s="16" t="inlineStr">
        <is>
          <t>TXN-2006</t>
        </is>
      </c>
      <c r="B10" s="16" t="inlineStr">
        <is>
          <t>2026-01-20</t>
        </is>
      </c>
      <c r="C10" s="10" t="inlineStr">
        <is>
          <t>Customer 018</t>
        </is>
      </c>
      <c r="D10" s="10" t="inlineStr">
        <is>
          <t>Retail</t>
        </is>
      </c>
      <c r="E10" s="10" t="inlineStr">
        <is>
          <t>West</t>
        </is>
      </c>
      <c r="F10" s="10" t="inlineStr">
        <is>
          <t>AI Insights Engine</t>
        </is>
      </c>
      <c r="G10" s="10">
        <f>UPPER(LEFT(F10, 3)) &amp; "-" &amp; TEXT(LEN(F10), "00")</f>
        <v/>
      </c>
      <c r="H10" s="10" t="n">
        <v>84</v>
      </c>
      <c r="I10" s="17" t="n">
        <v>93.72</v>
      </c>
      <c r="J10" s="17">
        <f>H10*I10</f>
        <v/>
      </c>
      <c r="K10" s="18" t="n">
        <v>0</v>
      </c>
      <c r="L10" s="17">
        <f>J10*K10</f>
        <v/>
      </c>
      <c r="M10" s="17">
        <f>J10-L10</f>
        <v/>
      </c>
      <c r="N10" s="17">
        <f>J10*0.62</f>
        <v/>
      </c>
      <c r="O10" s="17">
        <f>M10-N10</f>
        <v/>
      </c>
      <c r="P10" s="18">
        <f>O10/M10</f>
        <v/>
      </c>
      <c r="Q10" s="16" t="inlineStr">
        <is>
          <t>2026-01-20</t>
        </is>
      </c>
      <c r="R10" s="16" t="inlineStr">
        <is>
          <t>2026-01-23</t>
        </is>
      </c>
      <c r="S10" s="10">
        <f>DATEDIF(Q10, R10, "d")</f>
        <v/>
      </c>
      <c r="T10" s="19">
        <f>EOMONTH(Q10, 0)</f>
        <v/>
      </c>
      <c r="U10" s="20">
        <f>NOW()</f>
        <v/>
      </c>
      <c r="V10" s="10">
        <f>IF(ISNUMBER(MATCH(C10, $X$5:$X$18, 0)), "VIP Match", "Standard")</f>
        <v/>
      </c>
      <c r="X10" s="13" t="inlineStr">
        <is>
          <t>Customer 006</t>
        </is>
      </c>
    </row>
    <row r="11">
      <c r="A11" s="16" t="inlineStr">
        <is>
          <t>TXN-2007</t>
        </is>
      </c>
      <c r="B11" s="16" t="inlineStr">
        <is>
          <t>2026-05-03</t>
        </is>
      </c>
      <c r="C11" s="10" t="inlineStr">
        <is>
          <t>Customer 036</t>
        </is>
      </c>
      <c r="D11" s="10" t="inlineStr">
        <is>
          <t>Corporate</t>
        </is>
      </c>
      <c r="E11" s="10" t="inlineStr">
        <is>
          <t>East</t>
        </is>
      </c>
      <c r="F11" s="10" t="inlineStr">
        <is>
          <t>AI Insights Engine</t>
        </is>
      </c>
      <c r="G11" s="10">
        <f>UPPER(LEFT(F11, 3)) &amp; "-" &amp; TEXT(LEN(F11), "00")</f>
        <v/>
      </c>
      <c r="H11" s="10" t="n">
        <v>65</v>
      </c>
      <c r="I11" s="17" t="n">
        <v>144.4</v>
      </c>
      <c r="J11" s="17">
        <f>H11*I11</f>
        <v/>
      </c>
      <c r="K11" s="18" t="n">
        <v>0.15</v>
      </c>
      <c r="L11" s="17">
        <f>J11*K11</f>
        <v/>
      </c>
      <c r="M11" s="17">
        <f>J11-L11</f>
        <v/>
      </c>
      <c r="N11" s="17">
        <f>J11*0.59</f>
        <v/>
      </c>
      <c r="O11" s="17">
        <f>M11-N11</f>
        <v/>
      </c>
      <c r="P11" s="18">
        <f>O11/M11</f>
        <v/>
      </c>
      <c r="Q11" s="16" t="inlineStr">
        <is>
          <t>2026-05-03</t>
        </is>
      </c>
      <c r="R11" s="16" t="inlineStr">
        <is>
          <t>2026-05-14</t>
        </is>
      </c>
      <c r="S11" s="10">
        <f>DATEDIF(Q11, R11, "d")</f>
        <v/>
      </c>
      <c r="T11" s="19">
        <f>EOMONTH(Q11, 0)</f>
        <v/>
      </c>
      <c r="U11" s="20">
        <f>NOW()</f>
        <v/>
      </c>
      <c r="V11" s="10">
        <f>IF(ISNUMBER(MATCH(C11, $X$5:$X$18, 0)), "VIP Match", "Standard")</f>
        <v/>
      </c>
      <c r="X11" s="13" t="inlineStr">
        <is>
          <t>Customer 007</t>
        </is>
      </c>
    </row>
    <row r="12">
      <c r="A12" s="16" t="inlineStr">
        <is>
          <t>TXN-2008</t>
        </is>
      </c>
      <c r="B12" s="16" t="inlineStr">
        <is>
          <t>2026-05-19</t>
        </is>
      </c>
      <c r="C12" s="10" t="inlineStr">
        <is>
          <t>Customer 024</t>
        </is>
      </c>
      <c r="D12" s="10" t="inlineStr">
        <is>
          <t>Corporate</t>
        </is>
      </c>
      <c r="E12" s="10" t="inlineStr">
        <is>
          <t>South</t>
        </is>
      </c>
      <c r="F12" s="10" t="inlineStr">
        <is>
          <t>Data Vault Ultra</t>
        </is>
      </c>
      <c r="G12" s="10">
        <f>UPPER(LEFT(F12, 3)) &amp; "-" &amp; TEXT(LEN(F12), "00")</f>
        <v/>
      </c>
      <c r="H12" s="10" t="n">
        <v>23</v>
      </c>
      <c r="I12" s="17" t="n">
        <v>275.05</v>
      </c>
      <c r="J12" s="17">
        <f>H12*I12</f>
        <v/>
      </c>
      <c r="K12" s="18" t="n">
        <v>0.2</v>
      </c>
      <c r="L12" s="17">
        <f>J12*K12</f>
        <v/>
      </c>
      <c r="M12" s="17">
        <f>J12-L12</f>
        <v/>
      </c>
      <c r="N12" s="17">
        <f>J12*0.59</f>
        <v/>
      </c>
      <c r="O12" s="17">
        <f>M12-N12</f>
        <v/>
      </c>
      <c r="P12" s="18">
        <f>O12/M12</f>
        <v/>
      </c>
      <c r="Q12" s="16" t="inlineStr">
        <is>
          <t>2026-05-19</t>
        </is>
      </c>
      <c r="R12" s="16" t="inlineStr">
        <is>
          <t>2026-05-21</t>
        </is>
      </c>
      <c r="S12" s="10">
        <f>DATEDIF(Q12, R12, "d")</f>
        <v/>
      </c>
      <c r="T12" s="19">
        <f>EOMONTH(Q12, 0)</f>
        <v/>
      </c>
      <c r="U12" s="20">
        <f>NOW()</f>
        <v/>
      </c>
      <c r="V12" s="10">
        <f>IF(ISNUMBER(MATCH(C12, $X$5:$X$18, 0)), "VIP Match", "Standard")</f>
        <v/>
      </c>
      <c r="X12" s="13" t="inlineStr">
        <is>
          <t>Customer 008</t>
        </is>
      </c>
    </row>
    <row r="13">
      <c r="A13" s="16" t="inlineStr">
        <is>
          <t>TXN-2009</t>
        </is>
      </c>
      <c r="B13" s="16" t="inlineStr">
        <is>
          <t>2026-05-01</t>
        </is>
      </c>
      <c r="C13" s="10" t="inlineStr">
        <is>
          <t>Customer 031</t>
        </is>
      </c>
      <c r="D13" s="10" t="inlineStr">
        <is>
          <t>Enterprise</t>
        </is>
      </c>
      <c r="E13" s="10" t="inlineStr">
        <is>
          <t>Central</t>
        </is>
      </c>
      <c r="F13" s="10" t="inlineStr">
        <is>
          <t>AI Insights Engine</t>
        </is>
      </c>
      <c r="G13" s="10">
        <f>UPPER(LEFT(F13, 3)) &amp; "-" &amp; TEXT(LEN(F13), "00")</f>
        <v/>
      </c>
      <c r="H13" s="10" t="n">
        <v>88</v>
      </c>
      <c r="I13" s="17" t="n">
        <v>477.17</v>
      </c>
      <c r="J13" s="17">
        <f>H13*I13</f>
        <v/>
      </c>
      <c r="K13" s="18" t="n">
        <v>0.1</v>
      </c>
      <c r="L13" s="17">
        <f>J13*K13</f>
        <v/>
      </c>
      <c r="M13" s="17">
        <f>J13-L13</f>
        <v/>
      </c>
      <c r="N13" s="17">
        <f>J13*0.54</f>
        <v/>
      </c>
      <c r="O13" s="17">
        <f>M13-N13</f>
        <v/>
      </c>
      <c r="P13" s="18">
        <f>O13/M13</f>
        <v/>
      </c>
      <c r="Q13" s="16" t="inlineStr">
        <is>
          <t>2026-05-01</t>
        </is>
      </c>
      <c r="R13" s="16" t="inlineStr">
        <is>
          <t>2026-05-05</t>
        </is>
      </c>
      <c r="S13" s="10">
        <f>DATEDIF(Q13, R13, "d")</f>
        <v/>
      </c>
      <c r="T13" s="19">
        <f>EOMONTH(Q13, 0)</f>
        <v/>
      </c>
      <c r="U13" s="20">
        <f>NOW()</f>
        <v/>
      </c>
      <c r="V13" s="10">
        <f>IF(ISNUMBER(MATCH(C13, $X$5:$X$18, 0)), "VIP Match", "Standard")</f>
        <v/>
      </c>
      <c r="X13" s="13" t="inlineStr">
        <is>
          <t>Customer 009</t>
        </is>
      </c>
    </row>
    <row r="14">
      <c r="A14" s="16" t="inlineStr">
        <is>
          <t>TXN-2010</t>
        </is>
      </c>
      <c r="B14" s="16" t="inlineStr">
        <is>
          <t>2026-02-16</t>
        </is>
      </c>
      <c r="C14" s="10" t="inlineStr">
        <is>
          <t>Customer 007</t>
        </is>
      </c>
      <c r="D14" s="10" t="inlineStr">
        <is>
          <t>Retail</t>
        </is>
      </c>
      <c r="E14" s="10" t="inlineStr">
        <is>
          <t>West</t>
        </is>
      </c>
      <c r="F14" s="10" t="inlineStr">
        <is>
          <t>Smart Metrics Dashboard</t>
        </is>
      </c>
      <c r="G14" s="10">
        <f>UPPER(LEFT(F14, 3)) &amp; "-" &amp; TEXT(LEN(F14), "00")</f>
        <v/>
      </c>
      <c r="H14" s="10" t="n">
        <v>28</v>
      </c>
      <c r="I14" s="17" t="n">
        <v>204.97</v>
      </c>
      <c r="J14" s="17">
        <f>H14*I14</f>
        <v/>
      </c>
      <c r="K14" s="18" t="n">
        <v>0.1</v>
      </c>
      <c r="L14" s="17">
        <f>J14*K14</f>
        <v/>
      </c>
      <c r="M14" s="17">
        <f>J14-L14</f>
        <v/>
      </c>
      <c r="N14" s="17">
        <f>J14*0.58</f>
        <v/>
      </c>
      <c r="O14" s="17">
        <f>M14-N14</f>
        <v/>
      </c>
      <c r="P14" s="18">
        <f>O14/M14</f>
        <v/>
      </c>
      <c r="Q14" s="16" t="inlineStr">
        <is>
          <t>2026-02-16</t>
        </is>
      </c>
      <c r="R14" s="16" t="inlineStr">
        <is>
          <t>2026-02-20</t>
        </is>
      </c>
      <c r="S14" s="10">
        <f>DATEDIF(Q14, R14, "d")</f>
        <v/>
      </c>
      <c r="T14" s="19">
        <f>EOMONTH(Q14, 0)</f>
        <v/>
      </c>
      <c r="U14" s="20">
        <f>NOW()</f>
        <v/>
      </c>
      <c r="V14" s="10">
        <f>IF(ISNUMBER(MATCH(C14, $X$5:$X$18, 0)), "VIP Match", "Standard")</f>
        <v/>
      </c>
      <c r="X14" s="13" t="inlineStr">
        <is>
          <t>Customer 010</t>
        </is>
      </c>
    </row>
    <row r="15">
      <c r="A15" s="16" t="inlineStr">
        <is>
          <t>TXN-2011</t>
        </is>
      </c>
      <c r="B15" s="16" t="inlineStr">
        <is>
          <t>2026-01-28</t>
        </is>
      </c>
      <c r="C15" s="10" t="inlineStr">
        <is>
          <t>Customer 047</t>
        </is>
      </c>
      <c r="D15" s="10" t="inlineStr">
        <is>
          <t>Retail</t>
        </is>
      </c>
      <c r="E15" s="10" t="inlineStr">
        <is>
          <t>East</t>
        </is>
      </c>
      <c r="F15" s="10" t="inlineStr">
        <is>
          <t>Cloud Intelligence Suite</t>
        </is>
      </c>
      <c r="G15" s="10">
        <f>UPPER(LEFT(F15, 3)) &amp; "-" &amp; TEXT(LEN(F15), "00")</f>
        <v/>
      </c>
      <c r="H15" s="10" t="n">
        <v>28</v>
      </c>
      <c r="I15" s="17" t="n">
        <v>312.34</v>
      </c>
      <c r="J15" s="17">
        <f>H15*I15</f>
        <v/>
      </c>
      <c r="K15" s="18" t="n">
        <v>0.2</v>
      </c>
      <c r="L15" s="17">
        <f>J15*K15</f>
        <v/>
      </c>
      <c r="M15" s="17">
        <f>J15-L15</f>
        <v/>
      </c>
      <c r="N15" s="17">
        <f>J15*0.49</f>
        <v/>
      </c>
      <c r="O15" s="17">
        <f>M15-N15</f>
        <v/>
      </c>
      <c r="P15" s="18">
        <f>O15/M15</f>
        <v/>
      </c>
      <c r="Q15" s="16" t="inlineStr">
        <is>
          <t>2026-01-28</t>
        </is>
      </c>
      <c r="R15" s="16" t="inlineStr">
        <is>
          <t>2026-02-09</t>
        </is>
      </c>
      <c r="S15" s="10">
        <f>DATEDIF(Q15, R15, "d")</f>
        <v/>
      </c>
      <c r="T15" s="19">
        <f>EOMONTH(Q15, 0)</f>
        <v/>
      </c>
      <c r="U15" s="20">
        <f>NOW()</f>
        <v/>
      </c>
      <c r="V15" s="10">
        <f>IF(ISNUMBER(MATCH(C15, $X$5:$X$18, 0)), "VIP Match", "Standard")</f>
        <v/>
      </c>
      <c r="X15" s="13" t="inlineStr">
        <is>
          <t>Customer 011</t>
        </is>
      </c>
    </row>
    <row r="16">
      <c r="A16" s="16" t="inlineStr">
        <is>
          <t>TXN-2012</t>
        </is>
      </c>
      <c r="B16" s="16" t="inlineStr">
        <is>
          <t>2026-05-08</t>
        </is>
      </c>
      <c r="C16" s="10" t="inlineStr">
        <is>
          <t>Customer 006</t>
        </is>
      </c>
      <c r="D16" s="10" t="inlineStr">
        <is>
          <t>Wholesale</t>
        </is>
      </c>
      <c r="E16" s="10" t="inlineStr">
        <is>
          <t>South</t>
        </is>
      </c>
      <c r="F16" s="10" t="inlineStr">
        <is>
          <t>Data Vault Ultra</t>
        </is>
      </c>
      <c r="G16" s="10">
        <f>UPPER(LEFT(F16, 3)) &amp; "-" &amp; TEXT(LEN(F16), "00")</f>
        <v/>
      </c>
      <c r="H16" s="10" t="n">
        <v>82</v>
      </c>
      <c r="I16" s="17" t="n">
        <v>484.52</v>
      </c>
      <c r="J16" s="17">
        <f>H16*I16</f>
        <v/>
      </c>
      <c r="K16" s="18" t="n">
        <v>0</v>
      </c>
      <c r="L16" s="17">
        <f>J16*K16</f>
        <v/>
      </c>
      <c r="M16" s="17">
        <f>J16-L16</f>
        <v/>
      </c>
      <c r="N16" s="17">
        <f>J16*0.58</f>
        <v/>
      </c>
      <c r="O16" s="17">
        <f>M16-N16</f>
        <v/>
      </c>
      <c r="P16" s="18">
        <f>O16/M16</f>
        <v/>
      </c>
      <c r="Q16" s="16" t="inlineStr">
        <is>
          <t>2026-05-08</t>
        </is>
      </c>
      <c r="R16" s="16" t="inlineStr">
        <is>
          <t>2026-05-10</t>
        </is>
      </c>
      <c r="S16" s="10">
        <f>DATEDIF(Q16, R16, "d")</f>
        <v/>
      </c>
      <c r="T16" s="19">
        <f>EOMONTH(Q16, 0)</f>
        <v/>
      </c>
      <c r="U16" s="20">
        <f>NOW()</f>
        <v/>
      </c>
      <c r="V16" s="10">
        <f>IF(ISNUMBER(MATCH(C16, $X$5:$X$18, 0)), "VIP Match", "Standard")</f>
        <v/>
      </c>
      <c r="X16" s="13" t="inlineStr">
        <is>
          <t>Customer 012</t>
        </is>
      </c>
    </row>
    <row r="17">
      <c r="A17" s="16" t="inlineStr">
        <is>
          <t>TXN-2013</t>
        </is>
      </c>
      <c r="B17" s="16" t="inlineStr">
        <is>
          <t>2026-01-30</t>
        </is>
      </c>
      <c r="C17" s="10" t="inlineStr">
        <is>
          <t>Customer 024</t>
        </is>
      </c>
      <c r="D17" s="10" t="inlineStr">
        <is>
          <t>Retail</t>
        </is>
      </c>
      <c r="E17" s="10" t="inlineStr">
        <is>
          <t>South</t>
        </is>
      </c>
      <c r="F17" s="10" t="inlineStr">
        <is>
          <t>Enterprise Analytics Pro</t>
        </is>
      </c>
      <c r="G17" s="10">
        <f>UPPER(LEFT(F17, 3)) &amp; "-" &amp; TEXT(LEN(F17), "00")</f>
        <v/>
      </c>
      <c r="H17" s="10" t="n">
        <v>25</v>
      </c>
      <c r="I17" s="17" t="n">
        <v>369.74</v>
      </c>
      <c r="J17" s="17">
        <f>H17*I17</f>
        <v/>
      </c>
      <c r="K17" s="18" t="n">
        <v>0.2</v>
      </c>
      <c r="L17" s="17">
        <f>J17*K17</f>
        <v/>
      </c>
      <c r="M17" s="17">
        <f>J17-L17</f>
        <v/>
      </c>
      <c r="N17" s="17">
        <f>J17*0.47</f>
        <v/>
      </c>
      <c r="O17" s="17">
        <f>M17-N17</f>
        <v/>
      </c>
      <c r="P17" s="18">
        <f>O17/M17</f>
        <v/>
      </c>
      <c r="Q17" s="16" t="inlineStr">
        <is>
          <t>2026-01-30</t>
        </is>
      </c>
      <c r="R17" s="16" t="inlineStr">
        <is>
          <t>2026-02-12</t>
        </is>
      </c>
      <c r="S17" s="10">
        <f>DATEDIF(Q17, R17, "d")</f>
        <v/>
      </c>
      <c r="T17" s="19">
        <f>EOMONTH(Q17, 0)</f>
        <v/>
      </c>
      <c r="U17" s="20">
        <f>NOW()</f>
        <v/>
      </c>
      <c r="V17" s="10">
        <f>IF(ISNUMBER(MATCH(C17, $X$5:$X$18, 0)), "VIP Match", "Standard")</f>
        <v/>
      </c>
      <c r="X17" s="13" t="inlineStr">
        <is>
          <t>Customer 013</t>
        </is>
      </c>
    </row>
    <row r="18">
      <c r="A18" s="16" t="inlineStr">
        <is>
          <t>TXN-2014</t>
        </is>
      </c>
      <c r="B18" s="16" t="inlineStr">
        <is>
          <t>2026-03-09</t>
        </is>
      </c>
      <c r="C18" s="10" t="inlineStr">
        <is>
          <t>Customer 012</t>
        </is>
      </c>
      <c r="D18" s="10" t="inlineStr">
        <is>
          <t>Retail</t>
        </is>
      </c>
      <c r="E18" s="10" t="inlineStr">
        <is>
          <t>West</t>
        </is>
      </c>
      <c r="F18" s="10" t="inlineStr">
        <is>
          <t>Cloud Intelligence Suite</t>
        </is>
      </c>
      <c r="G18" s="10">
        <f>UPPER(LEFT(F18, 3)) &amp; "-" &amp; TEXT(LEN(F18), "00")</f>
        <v/>
      </c>
      <c r="H18" s="10" t="n">
        <v>29</v>
      </c>
      <c r="I18" s="17" t="n">
        <v>179.85</v>
      </c>
      <c r="J18" s="17">
        <f>H18*I18</f>
        <v/>
      </c>
      <c r="K18" s="18" t="n">
        <v>0.05</v>
      </c>
      <c r="L18" s="17">
        <f>J18*K18</f>
        <v/>
      </c>
      <c r="M18" s="17">
        <f>J18-L18</f>
        <v/>
      </c>
      <c r="N18" s="17">
        <f>J18*0.48</f>
        <v/>
      </c>
      <c r="O18" s="17">
        <f>M18-N18</f>
        <v/>
      </c>
      <c r="P18" s="18">
        <f>O18/M18</f>
        <v/>
      </c>
      <c r="Q18" s="16" t="inlineStr">
        <is>
          <t>2026-03-09</t>
        </is>
      </c>
      <c r="R18" s="16" t="inlineStr">
        <is>
          <t>2026-03-21</t>
        </is>
      </c>
      <c r="S18" s="10">
        <f>DATEDIF(Q18, R18, "d")</f>
        <v/>
      </c>
      <c r="T18" s="19">
        <f>EOMONTH(Q18, 0)</f>
        <v/>
      </c>
      <c r="U18" s="20">
        <f>NOW()</f>
        <v/>
      </c>
      <c r="V18" s="10">
        <f>IF(ISNUMBER(MATCH(C18, $X$5:$X$18, 0)), "VIP Match", "Standard")</f>
        <v/>
      </c>
      <c r="X18" s="13" t="inlineStr">
        <is>
          <t>Customer 014</t>
        </is>
      </c>
    </row>
    <row r="19">
      <c r="A19" s="16" t="inlineStr">
        <is>
          <t>TXN-2015</t>
        </is>
      </c>
      <c r="B19" s="16" t="inlineStr">
        <is>
          <t>2026-05-26</t>
        </is>
      </c>
      <c r="C19" s="10" t="inlineStr">
        <is>
          <t>Customer 002</t>
        </is>
      </c>
      <c r="D19" s="10" t="inlineStr">
        <is>
          <t>Enterprise</t>
        </is>
      </c>
      <c r="E19" s="10" t="inlineStr">
        <is>
          <t>Central</t>
        </is>
      </c>
      <c r="F19" s="10" t="inlineStr">
        <is>
          <t>Smart Metrics Dashboard</t>
        </is>
      </c>
      <c r="G19" s="10">
        <f>UPPER(LEFT(F19, 3)) &amp; "-" &amp; TEXT(LEN(F19), "00")</f>
        <v/>
      </c>
      <c r="H19" s="10" t="n">
        <v>105</v>
      </c>
      <c r="I19" s="17" t="n">
        <v>466.43</v>
      </c>
      <c r="J19" s="17">
        <f>H19*I19</f>
        <v/>
      </c>
      <c r="K19" s="18" t="n">
        <v>0.15</v>
      </c>
      <c r="L19" s="17">
        <f>J19*K19</f>
        <v/>
      </c>
      <c r="M19" s="17">
        <f>J19-L19</f>
        <v/>
      </c>
      <c r="N19" s="17">
        <f>J19*0.53</f>
        <v/>
      </c>
      <c r="O19" s="17">
        <f>M19-N19</f>
        <v/>
      </c>
      <c r="P19" s="18">
        <f>O19/M19</f>
        <v/>
      </c>
      <c r="Q19" s="16" t="inlineStr">
        <is>
          <t>2026-05-26</t>
        </is>
      </c>
      <c r="R19" s="16" t="inlineStr">
        <is>
          <t>2026-06-03</t>
        </is>
      </c>
      <c r="S19" s="10">
        <f>DATEDIF(Q19, R19, "d")</f>
        <v/>
      </c>
      <c r="T19" s="19">
        <f>EOMONTH(Q19, 0)</f>
        <v/>
      </c>
      <c r="U19" s="20">
        <f>NOW()</f>
        <v/>
      </c>
      <c r="V19" s="10">
        <f>IF(ISNUMBER(MATCH(C19, $X$5:$X$18, 0)), "VIP Match", "Standard")</f>
        <v/>
      </c>
    </row>
    <row r="20">
      <c r="A20" s="16" t="inlineStr">
        <is>
          <t>TXN-2016</t>
        </is>
      </c>
      <c r="B20" s="16" t="inlineStr">
        <is>
          <t>2026-06-01</t>
        </is>
      </c>
      <c r="C20" s="10" t="inlineStr">
        <is>
          <t>Customer 047</t>
        </is>
      </c>
      <c r="D20" s="10" t="inlineStr">
        <is>
          <t>Retail</t>
        </is>
      </c>
      <c r="E20" s="10" t="inlineStr">
        <is>
          <t>North</t>
        </is>
      </c>
      <c r="F20" s="10" t="inlineStr">
        <is>
          <t>Smart Metrics Dashboard</t>
        </is>
      </c>
      <c r="G20" s="10">
        <f>UPPER(LEFT(F20, 3)) &amp; "-" &amp; TEXT(LEN(F20), "00")</f>
        <v/>
      </c>
      <c r="H20" s="10" t="n">
        <v>15</v>
      </c>
      <c r="I20" s="17" t="n">
        <v>274.38</v>
      </c>
      <c r="J20" s="17">
        <f>H20*I20</f>
        <v/>
      </c>
      <c r="K20" s="18" t="n">
        <v>0</v>
      </c>
      <c r="L20" s="17">
        <f>J20*K20</f>
        <v/>
      </c>
      <c r="M20" s="17">
        <f>J20-L20</f>
        <v/>
      </c>
      <c r="N20" s="17">
        <f>J20*0.49</f>
        <v/>
      </c>
      <c r="O20" s="17">
        <f>M20-N20</f>
        <v/>
      </c>
      <c r="P20" s="18">
        <f>O20/M20</f>
        <v/>
      </c>
      <c r="Q20" s="16" t="inlineStr">
        <is>
          <t>2026-06-01</t>
        </is>
      </c>
      <c r="R20" s="16" t="inlineStr">
        <is>
          <t>2026-06-08</t>
        </is>
      </c>
      <c r="S20" s="10">
        <f>DATEDIF(Q20, R20, "d")</f>
        <v/>
      </c>
      <c r="T20" s="19">
        <f>EOMONTH(Q20, 0)</f>
        <v/>
      </c>
      <c r="U20" s="20">
        <f>NOW()</f>
        <v/>
      </c>
      <c r="V20" s="10">
        <f>IF(ISNUMBER(MATCH(C20, $X$5:$X$18, 0)), "VIP Match", "Standard")</f>
        <v/>
      </c>
    </row>
    <row r="21">
      <c r="A21" s="16" t="inlineStr">
        <is>
          <t>TXN-2017</t>
        </is>
      </c>
      <c r="B21" s="16" t="inlineStr">
        <is>
          <t>2026-01-03</t>
        </is>
      </c>
      <c r="C21" s="10" t="inlineStr">
        <is>
          <t>Customer 022</t>
        </is>
      </c>
      <c r="D21" s="10" t="inlineStr">
        <is>
          <t>Corporate</t>
        </is>
      </c>
      <c r="E21" s="10" t="inlineStr">
        <is>
          <t>Central</t>
        </is>
      </c>
      <c r="F21" s="10" t="inlineStr">
        <is>
          <t>Data Vault Ultra</t>
        </is>
      </c>
      <c r="G21" s="10">
        <f>UPPER(LEFT(F21, 3)) &amp; "-" &amp; TEXT(LEN(F21), "00")</f>
        <v/>
      </c>
      <c r="H21" s="10" t="n">
        <v>109</v>
      </c>
      <c r="I21" s="17" t="n">
        <v>344.02</v>
      </c>
      <c r="J21" s="17">
        <f>H21*I21</f>
        <v/>
      </c>
      <c r="K21" s="18" t="n">
        <v>0.05</v>
      </c>
      <c r="L21" s="17">
        <f>J21*K21</f>
        <v/>
      </c>
      <c r="M21" s="17">
        <f>J21-L21</f>
        <v/>
      </c>
      <c r="N21" s="17">
        <f>J21*0.54</f>
        <v/>
      </c>
      <c r="O21" s="17">
        <f>M21-N21</f>
        <v/>
      </c>
      <c r="P21" s="18">
        <f>O21/M21</f>
        <v/>
      </c>
      <c r="Q21" s="16" t="inlineStr">
        <is>
          <t>2026-01-03</t>
        </is>
      </c>
      <c r="R21" s="16" t="inlineStr">
        <is>
          <t>2026-01-04</t>
        </is>
      </c>
      <c r="S21" s="10">
        <f>DATEDIF(Q21, R21, "d")</f>
        <v/>
      </c>
      <c r="T21" s="19">
        <f>EOMONTH(Q21, 0)</f>
        <v/>
      </c>
      <c r="U21" s="20">
        <f>NOW()</f>
        <v/>
      </c>
      <c r="V21" s="10">
        <f>IF(ISNUMBER(MATCH(C21, $X$5:$X$18, 0)), "VIP Match", "Standard")</f>
        <v/>
      </c>
    </row>
    <row r="22">
      <c r="A22" s="16" t="inlineStr">
        <is>
          <t>TXN-2018</t>
        </is>
      </c>
      <c r="B22" s="16" t="inlineStr">
        <is>
          <t>2026-06-03</t>
        </is>
      </c>
      <c r="C22" s="10" t="inlineStr">
        <is>
          <t>Customer 003</t>
        </is>
      </c>
      <c r="D22" s="10" t="inlineStr">
        <is>
          <t>Retail</t>
        </is>
      </c>
      <c r="E22" s="10" t="inlineStr">
        <is>
          <t>South</t>
        </is>
      </c>
      <c r="F22" s="10" t="inlineStr">
        <is>
          <t>Smart Metrics Dashboard</t>
        </is>
      </c>
      <c r="G22" s="10">
        <f>UPPER(LEFT(F22, 3)) &amp; "-" &amp; TEXT(LEN(F22), "00")</f>
        <v/>
      </c>
      <c r="H22" s="10" t="n">
        <v>47</v>
      </c>
      <c r="I22" s="17" t="n">
        <v>296.64</v>
      </c>
      <c r="J22" s="17">
        <f>H22*I22</f>
        <v/>
      </c>
      <c r="K22" s="18" t="n">
        <v>0.2</v>
      </c>
      <c r="L22" s="17">
        <f>J22*K22</f>
        <v/>
      </c>
      <c r="M22" s="17">
        <f>J22-L22</f>
        <v/>
      </c>
      <c r="N22" s="17">
        <f>J22*0.49</f>
        <v/>
      </c>
      <c r="O22" s="17">
        <f>M22-N22</f>
        <v/>
      </c>
      <c r="P22" s="18">
        <f>O22/M22</f>
        <v/>
      </c>
      <c r="Q22" s="16" t="inlineStr">
        <is>
          <t>2026-06-03</t>
        </is>
      </c>
      <c r="R22" s="16" t="inlineStr">
        <is>
          <t>2026-06-05</t>
        </is>
      </c>
      <c r="S22" s="10">
        <f>DATEDIF(Q22, R22, "d")</f>
        <v/>
      </c>
      <c r="T22" s="19">
        <f>EOMONTH(Q22, 0)</f>
        <v/>
      </c>
      <c r="U22" s="20">
        <f>NOW()</f>
        <v/>
      </c>
      <c r="V22" s="10">
        <f>IF(ISNUMBER(MATCH(C22, $X$5:$X$18, 0)), "VIP Match", "Standard")</f>
        <v/>
      </c>
    </row>
    <row r="23">
      <c r="A23" s="16" t="inlineStr">
        <is>
          <t>TXN-2019</t>
        </is>
      </c>
      <c r="B23" s="16" t="inlineStr">
        <is>
          <t>2026-04-14</t>
        </is>
      </c>
      <c r="C23" s="10" t="inlineStr">
        <is>
          <t>Customer 047</t>
        </is>
      </c>
      <c r="D23" s="10" t="inlineStr">
        <is>
          <t>Corporate</t>
        </is>
      </c>
      <c r="E23" s="10" t="inlineStr">
        <is>
          <t>West</t>
        </is>
      </c>
      <c r="F23" s="10" t="inlineStr">
        <is>
          <t>Enterprise Analytics Pro</t>
        </is>
      </c>
      <c r="G23" s="10">
        <f>UPPER(LEFT(F23, 3)) &amp; "-" &amp; TEXT(LEN(F23), "00")</f>
        <v/>
      </c>
      <c r="H23" s="10" t="n">
        <v>85</v>
      </c>
      <c r="I23" s="17" t="n">
        <v>369.88</v>
      </c>
      <c r="J23" s="17">
        <f>H23*I23</f>
        <v/>
      </c>
      <c r="K23" s="18" t="n">
        <v>0.2</v>
      </c>
      <c r="L23" s="17">
        <f>J23*K23</f>
        <v/>
      </c>
      <c r="M23" s="17">
        <f>J23-L23</f>
        <v/>
      </c>
      <c r="N23" s="17">
        <f>J23*0.61</f>
        <v/>
      </c>
      <c r="O23" s="17">
        <f>M23-N23</f>
        <v/>
      </c>
      <c r="P23" s="18">
        <f>O23/M23</f>
        <v/>
      </c>
      <c r="Q23" s="16" t="inlineStr">
        <is>
          <t>2026-04-14</t>
        </is>
      </c>
      <c r="R23" s="16" t="inlineStr">
        <is>
          <t>2026-04-15</t>
        </is>
      </c>
      <c r="S23" s="10">
        <f>DATEDIF(Q23, R23, "d")</f>
        <v/>
      </c>
      <c r="T23" s="19">
        <f>EOMONTH(Q23, 0)</f>
        <v/>
      </c>
      <c r="U23" s="20">
        <f>NOW()</f>
        <v/>
      </c>
      <c r="V23" s="10">
        <f>IF(ISNUMBER(MATCH(C23, $X$5:$X$18, 0)), "VIP Match", "Standard")</f>
        <v/>
      </c>
    </row>
    <row r="24">
      <c r="A24" s="16" t="inlineStr">
        <is>
          <t>TXN-2020</t>
        </is>
      </c>
      <c r="B24" s="16" t="inlineStr">
        <is>
          <t>2026-04-24</t>
        </is>
      </c>
      <c r="C24" s="10" t="inlineStr">
        <is>
          <t>Customer 039</t>
        </is>
      </c>
      <c r="D24" s="10" t="inlineStr">
        <is>
          <t>Wholesale</t>
        </is>
      </c>
      <c r="E24" s="10" t="inlineStr">
        <is>
          <t>Central</t>
        </is>
      </c>
      <c r="F24" s="10" t="inlineStr">
        <is>
          <t>AI Insights Engine</t>
        </is>
      </c>
      <c r="G24" s="10">
        <f>UPPER(LEFT(F24, 3)) &amp; "-" &amp; TEXT(LEN(F24), "00")</f>
        <v/>
      </c>
      <c r="H24" s="10" t="n">
        <v>30</v>
      </c>
      <c r="I24" s="17" t="n">
        <v>433.69</v>
      </c>
      <c r="J24" s="17">
        <f>H24*I24</f>
        <v/>
      </c>
      <c r="K24" s="18" t="n">
        <v>0</v>
      </c>
      <c r="L24" s="17">
        <f>J24*K24</f>
        <v/>
      </c>
      <c r="M24" s="17">
        <f>J24-L24</f>
        <v/>
      </c>
      <c r="N24" s="17">
        <f>J24*0.57</f>
        <v/>
      </c>
      <c r="O24" s="17">
        <f>M24-N24</f>
        <v/>
      </c>
      <c r="P24" s="18">
        <f>O24/M24</f>
        <v/>
      </c>
      <c r="Q24" s="16" t="inlineStr">
        <is>
          <t>2026-04-24</t>
        </is>
      </c>
      <c r="R24" s="16" t="inlineStr">
        <is>
          <t>2026-05-06</t>
        </is>
      </c>
      <c r="S24" s="10">
        <f>DATEDIF(Q24, R24, "d")</f>
        <v/>
      </c>
      <c r="T24" s="19">
        <f>EOMONTH(Q24, 0)</f>
        <v/>
      </c>
      <c r="U24" s="20">
        <f>NOW()</f>
        <v/>
      </c>
      <c r="V24" s="10">
        <f>IF(ISNUMBER(MATCH(C24, $X$5:$X$18, 0)), "VIP Match", "Standard")</f>
        <v/>
      </c>
    </row>
    <row r="25">
      <c r="A25" s="16" t="inlineStr">
        <is>
          <t>TXN-2021</t>
        </is>
      </c>
      <c r="B25" s="16" t="inlineStr">
        <is>
          <t>2026-02-05</t>
        </is>
      </c>
      <c r="C25" s="10" t="inlineStr">
        <is>
          <t>Customer 048</t>
        </is>
      </c>
      <c r="D25" s="10" t="inlineStr">
        <is>
          <t>Corporate</t>
        </is>
      </c>
      <c r="E25" s="10" t="inlineStr">
        <is>
          <t>West</t>
        </is>
      </c>
      <c r="F25" s="10" t="inlineStr">
        <is>
          <t>Data Vault Ultra</t>
        </is>
      </c>
      <c r="G25" s="10">
        <f>UPPER(LEFT(F25, 3)) &amp; "-" &amp; TEXT(LEN(F25), "00")</f>
        <v/>
      </c>
      <c r="H25" s="10" t="n">
        <v>107</v>
      </c>
      <c r="I25" s="17" t="n">
        <v>442.67</v>
      </c>
      <c r="J25" s="17">
        <f>H25*I25</f>
        <v/>
      </c>
      <c r="K25" s="18" t="n">
        <v>0.05</v>
      </c>
      <c r="L25" s="17">
        <f>J25*K25</f>
        <v/>
      </c>
      <c r="M25" s="17">
        <f>J25-L25</f>
        <v/>
      </c>
      <c r="N25" s="17">
        <f>J25*0.46</f>
        <v/>
      </c>
      <c r="O25" s="17">
        <f>M25-N25</f>
        <v/>
      </c>
      <c r="P25" s="18">
        <f>O25/M25</f>
        <v/>
      </c>
      <c r="Q25" s="16" t="inlineStr">
        <is>
          <t>2026-02-05</t>
        </is>
      </c>
      <c r="R25" s="16" t="inlineStr">
        <is>
          <t>2026-02-16</t>
        </is>
      </c>
      <c r="S25" s="10">
        <f>DATEDIF(Q25, R25, "d")</f>
        <v/>
      </c>
      <c r="T25" s="19">
        <f>EOMONTH(Q25, 0)</f>
        <v/>
      </c>
      <c r="U25" s="20">
        <f>NOW()</f>
        <v/>
      </c>
      <c r="V25" s="10">
        <f>IF(ISNUMBER(MATCH(C25, $X$5:$X$18, 0)), "VIP Match", "Standard")</f>
        <v/>
      </c>
    </row>
    <row r="26">
      <c r="A26" s="16" t="inlineStr">
        <is>
          <t>TXN-2022</t>
        </is>
      </c>
      <c r="B26" s="16" t="inlineStr">
        <is>
          <t>2026-04-10</t>
        </is>
      </c>
      <c r="C26" s="10" t="inlineStr">
        <is>
          <t>Customer 038</t>
        </is>
      </c>
      <c r="D26" s="10" t="inlineStr">
        <is>
          <t>Retail</t>
        </is>
      </c>
      <c r="E26" s="10" t="inlineStr">
        <is>
          <t>East</t>
        </is>
      </c>
      <c r="F26" s="10" t="inlineStr">
        <is>
          <t>Smart Metrics Dashboard</t>
        </is>
      </c>
      <c r="G26" s="10">
        <f>UPPER(LEFT(F26, 3)) &amp; "-" &amp; TEXT(LEN(F26), "00")</f>
        <v/>
      </c>
      <c r="H26" s="10" t="n">
        <v>54</v>
      </c>
      <c r="I26" s="17" t="n">
        <v>402.39</v>
      </c>
      <c r="J26" s="17">
        <f>H26*I26</f>
        <v/>
      </c>
      <c r="K26" s="18" t="n">
        <v>0.15</v>
      </c>
      <c r="L26" s="17">
        <f>J26*K26</f>
        <v/>
      </c>
      <c r="M26" s="17">
        <f>J26-L26</f>
        <v/>
      </c>
      <c r="N26" s="17">
        <f>J26*0.45</f>
        <v/>
      </c>
      <c r="O26" s="17">
        <f>M26-N26</f>
        <v/>
      </c>
      <c r="P26" s="18">
        <f>O26/M26</f>
        <v/>
      </c>
      <c r="Q26" s="16" t="inlineStr">
        <is>
          <t>2026-04-10</t>
        </is>
      </c>
      <c r="R26" s="16" t="inlineStr">
        <is>
          <t>2026-04-19</t>
        </is>
      </c>
      <c r="S26" s="10">
        <f>DATEDIF(Q26, R26, "d")</f>
        <v/>
      </c>
      <c r="T26" s="19">
        <f>EOMONTH(Q26, 0)</f>
        <v/>
      </c>
      <c r="U26" s="20">
        <f>NOW()</f>
        <v/>
      </c>
      <c r="V26" s="10">
        <f>IF(ISNUMBER(MATCH(C26, $X$5:$X$18, 0)), "VIP Match", "Standard")</f>
        <v/>
      </c>
    </row>
    <row r="27">
      <c r="A27" s="16" t="inlineStr">
        <is>
          <t>TXN-2023</t>
        </is>
      </c>
      <c r="B27" s="16" t="inlineStr">
        <is>
          <t>2026-03-09</t>
        </is>
      </c>
      <c r="C27" s="10" t="inlineStr">
        <is>
          <t>Customer 025</t>
        </is>
      </c>
      <c r="D27" s="10" t="inlineStr">
        <is>
          <t>Corporate</t>
        </is>
      </c>
      <c r="E27" s="10" t="inlineStr">
        <is>
          <t>South</t>
        </is>
      </c>
      <c r="F27" s="10" t="inlineStr">
        <is>
          <t>Smart Metrics Dashboard</t>
        </is>
      </c>
      <c r="G27" s="10">
        <f>UPPER(LEFT(F27, 3)) &amp; "-" &amp; TEXT(LEN(F27), "00")</f>
        <v/>
      </c>
      <c r="H27" s="10" t="n">
        <v>22</v>
      </c>
      <c r="I27" s="17" t="n">
        <v>88.25</v>
      </c>
      <c r="J27" s="17">
        <f>H27*I27</f>
        <v/>
      </c>
      <c r="K27" s="18" t="n">
        <v>0.15</v>
      </c>
      <c r="L27" s="17">
        <f>J27*K27</f>
        <v/>
      </c>
      <c r="M27" s="17">
        <f>J27-L27</f>
        <v/>
      </c>
      <c r="N27" s="17">
        <f>J27*0.58</f>
        <v/>
      </c>
      <c r="O27" s="17">
        <f>M27-N27</f>
        <v/>
      </c>
      <c r="P27" s="18">
        <f>O27/M27</f>
        <v/>
      </c>
      <c r="Q27" s="16" t="inlineStr">
        <is>
          <t>2026-03-09</t>
        </is>
      </c>
      <c r="R27" s="16" t="inlineStr">
        <is>
          <t>2026-03-22</t>
        </is>
      </c>
      <c r="S27" s="10">
        <f>DATEDIF(Q27, R27, "d")</f>
        <v/>
      </c>
      <c r="T27" s="19">
        <f>EOMONTH(Q27, 0)</f>
        <v/>
      </c>
      <c r="U27" s="20">
        <f>NOW()</f>
        <v/>
      </c>
      <c r="V27" s="10">
        <f>IF(ISNUMBER(MATCH(C27, $X$5:$X$18, 0)), "VIP Match", "Standard")</f>
        <v/>
      </c>
    </row>
    <row r="28">
      <c r="A28" s="16" t="inlineStr">
        <is>
          <t>TXN-2024</t>
        </is>
      </c>
      <c r="B28" s="16" t="inlineStr">
        <is>
          <t>2026-05-04</t>
        </is>
      </c>
      <c r="C28" s="10" t="inlineStr">
        <is>
          <t>Customer 035</t>
        </is>
      </c>
      <c r="D28" s="10" t="inlineStr">
        <is>
          <t>Enterprise</t>
        </is>
      </c>
      <c r="E28" s="10" t="inlineStr">
        <is>
          <t>Central</t>
        </is>
      </c>
      <c r="F28" s="10" t="inlineStr">
        <is>
          <t>Cloud Intelligence Suite</t>
        </is>
      </c>
      <c r="G28" s="10">
        <f>UPPER(LEFT(F28, 3)) &amp; "-" &amp; TEXT(LEN(F28), "00")</f>
        <v/>
      </c>
      <c r="H28" s="10" t="n">
        <v>25</v>
      </c>
      <c r="I28" s="17" t="n">
        <v>195.15</v>
      </c>
      <c r="J28" s="17">
        <f>H28*I28</f>
        <v/>
      </c>
      <c r="K28" s="18" t="n">
        <v>0.05</v>
      </c>
      <c r="L28" s="17">
        <f>J28*K28</f>
        <v/>
      </c>
      <c r="M28" s="17">
        <f>J28-L28</f>
        <v/>
      </c>
      <c r="N28" s="17">
        <f>J28*0.49</f>
        <v/>
      </c>
      <c r="O28" s="17">
        <f>M28-N28</f>
        <v/>
      </c>
      <c r="P28" s="18">
        <f>O28/M28</f>
        <v/>
      </c>
      <c r="Q28" s="16" t="inlineStr">
        <is>
          <t>2026-05-04</t>
        </is>
      </c>
      <c r="R28" s="16" t="inlineStr">
        <is>
          <t>2026-05-10</t>
        </is>
      </c>
      <c r="S28" s="10">
        <f>DATEDIF(Q28, R28, "d")</f>
        <v/>
      </c>
      <c r="T28" s="19">
        <f>EOMONTH(Q28, 0)</f>
        <v/>
      </c>
      <c r="U28" s="20">
        <f>NOW()</f>
        <v/>
      </c>
      <c r="V28" s="10">
        <f>IF(ISNUMBER(MATCH(C28, $X$5:$X$18, 0)), "VIP Match", "Standard")</f>
        <v/>
      </c>
    </row>
    <row r="29">
      <c r="A29" s="16" t="inlineStr">
        <is>
          <t>TXN-2025</t>
        </is>
      </c>
      <c r="B29" s="16" t="inlineStr">
        <is>
          <t>2026-06-08</t>
        </is>
      </c>
      <c r="C29" s="10" t="inlineStr">
        <is>
          <t>Customer 026</t>
        </is>
      </c>
      <c r="D29" s="10" t="inlineStr">
        <is>
          <t>Corporate</t>
        </is>
      </c>
      <c r="E29" s="10" t="inlineStr">
        <is>
          <t>Central</t>
        </is>
      </c>
      <c r="F29" s="10" t="inlineStr">
        <is>
          <t>Data Vault Ultra</t>
        </is>
      </c>
      <c r="G29" s="10">
        <f>UPPER(LEFT(F29, 3)) &amp; "-" &amp; TEXT(LEN(F29), "00")</f>
        <v/>
      </c>
      <c r="H29" s="10" t="n">
        <v>80</v>
      </c>
      <c r="I29" s="17" t="n">
        <v>462.86</v>
      </c>
      <c r="J29" s="17">
        <f>H29*I29</f>
        <v/>
      </c>
      <c r="K29" s="18" t="n">
        <v>0.15</v>
      </c>
      <c r="L29" s="17">
        <f>J29*K29</f>
        <v/>
      </c>
      <c r="M29" s="17">
        <f>J29-L29</f>
        <v/>
      </c>
      <c r="N29" s="17">
        <f>J29*0.49</f>
        <v/>
      </c>
      <c r="O29" s="17">
        <f>M29-N29</f>
        <v/>
      </c>
      <c r="P29" s="18">
        <f>O29/M29</f>
        <v/>
      </c>
      <c r="Q29" s="16" t="inlineStr">
        <is>
          <t>2026-06-08</t>
        </is>
      </c>
      <c r="R29" s="16" t="inlineStr">
        <is>
          <t>2026-06-12</t>
        </is>
      </c>
      <c r="S29" s="10">
        <f>DATEDIF(Q29, R29, "d")</f>
        <v/>
      </c>
      <c r="T29" s="19">
        <f>EOMONTH(Q29, 0)</f>
        <v/>
      </c>
      <c r="U29" s="20">
        <f>NOW()</f>
        <v/>
      </c>
      <c r="V29" s="10">
        <f>IF(ISNUMBER(MATCH(C29, $X$5:$X$18, 0)), "VIP Match", "Standard")</f>
        <v/>
      </c>
    </row>
    <row r="30">
      <c r="A30" s="16" t="inlineStr">
        <is>
          <t>TXN-2026</t>
        </is>
      </c>
      <c r="B30" s="16" t="inlineStr">
        <is>
          <t>2026-05-15</t>
        </is>
      </c>
      <c r="C30" s="10" t="inlineStr">
        <is>
          <t>Customer 047</t>
        </is>
      </c>
      <c r="D30" s="10" t="inlineStr">
        <is>
          <t>Wholesale</t>
        </is>
      </c>
      <c r="E30" s="10" t="inlineStr">
        <is>
          <t>North</t>
        </is>
      </c>
      <c r="F30" s="10" t="inlineStr">
        <is>
          <t>AI Insights Engine</t>
        </is>
      </c>
      <c r="G30" s="10">
        <f>UPPER(LEFT(F30, 3)) &amp; "-" &amp; TEXT(LEN(F30), "00")</f>
        <v/>
      </c>
      <c r="H30" s="10" t="n">
        <v>86</v>
      </c>
      <c r="I30" s="17" t="n">
        <v>108.74</v>
      </c>
      <c r="J30" s="17">
        <f>H30*I30</f>
        <v/>
      </c>
      <c r="K30" s="18" t="n">
        <v>0.05</v>
      </c>
      <c r="L30" s="17">
        <f>J30*K30</f>
        <v/>
      </c>
      <c r="M30" s="17">
        <f>J30-L30</f>
        <v/>
      </c>
      <c r="N30" s="17">
        <f>J30*0.58</f>
        <v/>
      </c>
      <c r="O30" s="17">
        <f>M30-N30</f>
        <v/>
      </c>
      <c r="P30" s="18">
        <f>O30/M30</f>
        <v/>
      </c>
      <c r="Q30" s="16" t="inlineStr">
        <is>
          <t>2026-05-15</t>
        </is>
      </c>
      <c r="R30" s="16" t="inlineStr">
        <is>
          <t>2026-05-22</t>
        </is>
      </c>
      <c r="S30" s="10">
        <f>DATEDIF(Q30, R30, "d")</f>
        <v/>
      </c>
      <c r="T30" s="19">
        <f>EOMONTH(Q30, 0)</f>
        <v/>
      </c>
      <c r="U30" s="20">
        <f>NOW()</f>
        <v/>
      </c>
      <c r="V30" s="10">
        <f>IF(ISNUMBER(MATCH(C30, $X$5:$X$18, 0)), "VIP Match", "Standard")</f>
        <v/>
      </c>
    </row>
    <row r="31">
      <c r="A31" s="16" t="inlineStr">
        <is>
          <t>TXN-2027</t>
        </is>
      </c>
      <c r="B31" s="16" t="inlineStr">
        <is>
          <t>2026-06-10</t>
        </is>
      </c>
      <c r="C31" s="10" t="inlineStr">
        <is>
          <t>Customer 048</t>
        </is>
      </c>
      <c r="D31" s="10" t="inlineStr">
        <is>
          <t>Enterprise</t>
        </is>
      </c>
      <c r="E31" s="10" t="inlineStr">
        <is>
          <t>Central</t>
        </is>
      </c>
      <c r="F31" s="10" t="inlineStr">
        <is>
          <t>AI Insights Engine</t>
        </is>
      </c>
      <c r="G31" s="10">
        <f>UPPER(LEFT(F31, 3)) &amp; "-" &amp; TEXT(LEN(F31), "00")</f>
        <v/>
      </c>
      <c r="H31" s="10" t="n">
        <v>102</v>
      </c>
      <c r="I31" s="17" t="n">
        <v>427.35</v>
      </c>
      <c r="J31" s="17">
        <f>H31*I31</f>
        <v/>
      </c>
      <c r="K31" s="18" t="n">
        <v>0.1</v>
      </c>
      <c r="L31" s="17">
        <f>J31*K31</f>
        <v/>
      </c>
      <c r="M31" s="17">
        <f>J31-L31</f>
        <v/>
      </c>
      <c r="N31" s="17">
        <f>J31*0.65</f>
        <v/>
      </c>
      <c r="O31" s="17">
        <f>M31-N31</f>
        <v/>
      </c>
      <c r="P31" s="18">
        <f>O31/M31</f>
        <v/>
      </c>
      <c r="Q31" s="16" t="inlineStr">
        <is>
          <t>2026-06-10</t>
        </is>
      </c>
      <c r="R31" s="16" t="inlineStr">
        <is>
          <t>2026-06-18</t>
        </is>
      </c>
      <c r="S31" s="10">
        <f>DATEDIF(Q31, R31, "d")</f>
        <v/>
      </c>
      <c r="T31" s="19">
        <f>EOMONTH(Q31, 0)</f>
        <v/>
      </c>
      <c r="U31" s="20">
        <f>NOW()</f>
        <v/>
      </c>
      <c r="V31" s="10">
        <f>IF(ISNUMBER(MATCH(C31, $X$5:$X$18, 0)), "VIP Match", "Standard")</f>
        <v/>
      </c>
    </row>
    <row r="32">
      <c r="A32" s="16" t="inlineStr">
        <is>
          <t>TXN-2028</t>
        </is>
      </c>
      <c r="B32" s="16" t="inlineStr">
        <is>
          <t>2026-06-10</t>
        </is>
      </c>
      <c r="C32" s="10" t="inlineStr">
        <is>
          <t>Customer 015</t>
        </is>
      </c>
      <c r="D32" s="10" t="inlineStr">
        <is>
          <t>Retail</t>
        </is>
      </c>
      <c r="E32" s="10" t="inlineStr">
        <is>
          <t>East</t>
        </is>
      </c>
      <c r="F32" s="10" t="inlineStr">
        <is>
          <t>Enterprise Analytics Pro</t>
        </is>
      </c>
      <c r="G32" s="10">
        <f>UPPER(LEFT(F32, 3)) &amp; "-" &amp; TEXT(LEN(F32), "00")</f>
        <v/>
      </c>
      <c r="H32" s="10" t="n">
        <v>25</v>
      </c>
      <c r="I32" s="17" t="n">
        <v>377.24</v>
      </c>
      <c r="J32" s="17">
        <f>H32*I32</f>
        <v/>
      </c>
      <c r="K32" s="18" t="n">
        <v>0.05</v>
      </c>
      <c r="L32" s="17">
        <f>J32*K32</f>
        <v/>
      </c>
      <c r="M32" s="17">
        <f>J32-L32</f>
        <v/>
      </c>
      <c r="N32" s="17">
        <f>J32*0.54</f>
        <v/>
      </c>
      <c r="O32" s="17">
        <f>M32-N32</f>
        <v/>
      </c>
      <c r="P32" s="18">
        <f>O32/M32</f>
        <v/>
      </c>
      <c r="Q32" s="16" t="inlineStr">
        <is>
          <t>2026-06-10</t>
        </is>
      </c>
      <c r="R32" s="16" t="inlineStr">
        <is>
          <t>2026-06-21</t>
        </is>
      </c>
      <c r="S32" s="10">
        <f>DATEDIF(Q32, R32, "d")</f>
        <v/>
      </c>
      <c r="T32" s="19">
        <f>EOMONTH(Q32, 0)</f>
        <v/>
      </c>
      <c r="U32" s="20">
        <f>NOW()</f>
        <v/>
      </c>
      <c r="V32" s="10">
        <f>IF(ISNUMBER(MATCH(C32, $X$5:$X$18, 0)), "VIP Match", "Standard")</f>
        <v/>
      </c>
    </row>
    <row r="33">
      <c r="A33" s="16" t="inlineStr">
        <is>
          <t>TXN-2029</t>
        </is>
      </c>
      <c r="B33" s="16" t="inlineStr">
        <is>
          <t>2026-05-31</t>
        </is>
      </c>
      <c r="C33" s="10" t="inlineStr">
        <is>
          <t>Customer 032</t>
        </is>
      </c>
      <c r="D33" s="10" t="inlineStr">
        <is>
          <t>Wholesale</t>
        </is>
      </c>
      <c r="E33" s="10" t="inlineStr">
        <is>
          <t>East</t>
        </is>
      </c>
      <c r="F33" s="10" t="inlineStr">
        <is>
          <t>Enterprise Analytics Pro</t>
        </is>
      </c>
      <c r="G33" s="10">
        <f>UPPER(LEFT(F33, 3)) &amp; "-" &amp; TEXT(LEN(F33), "00")</f>
        <v/>
      </c>
      <c r="H33" s="10" t="n">
        <v>46</v>
      </c>
      <c r="I33" s="17" t="n">
        <v>363.95</v>
      </c>
      <c r="J33" s="17">
        <f>H33*I33</f>
        <v/>
      </c>
      <c r="K33" s="18" t="n">
        <v>0</v>
      </c>
      <c r="L33" s="17">
        <f>J33*K33</f>
        <v/>
      </c>
      <c r="M33" s="17">
        <f>J33-L33</f>
        <v/>
      </c>
      <c r="N33" s="17">
        <f>J33*0.45</f>
        <v/>
      </c>
      <c r="O33" s="17">
        <f>M33-N33</f>
        <v/>
      </c>
      <c r="P33" s="18">
        <f>O33/M33</f>
        <v/>
      </c>
      <c r="Q33" s="16" t="inlineStr">
        <is>
          <t>2026-05-31</t>
        </is>
      </c>
      <c r="R33" s="16" t="inlineStr">
        <is>
          <t>2026-06-01</t>
        </is>
      </c>
      <c r="S33" s="10">
        <f>DATEDIF(Q33, R33, "d")</f>
        <v/>
      </c>
      <c r="T33" s="19">
        <f>EOMONTH(Q33, 0)</f>
        <v/>
      </c>
      <c r="U33" s="20">
        <f>NOW()</f>
        <v/>
      </c>
      <c r="V33" s="10">
        <f>IF(ISNUMBER(MATCH(C33, $X$5:$X$18, 0)), "VIP Match", "Standard")</f>
        <v/>
      </c>
    </row>
    <row r="34">
      <c r="A34" s="16" t="inlineStr">
        <is>
          <t>TXN-2030</t>
        </is>
      </c>
      <c r="B34" s="16" t="inlineStr">
        <is>
          <t>2026-03-18</t>
        </is>
      </c>
      <c r="C34" s="10" t="inlineStr">
        <is>
          <t>Customer 004</t>
        </is>
      </c>
      <c r="D34" s="10" t="inlineStr">
        <is>
          <t>Retail</t>
        </is>
      </c>
      <c r="E34" s="10" t="inlineStr">
        <is>
          <t>South</t>
        </is>
      </c>
      <c r="F34" s="10" t="inlineStr">
        <is>
          <t>Data Vault Ultra</t>
        </is>
      </c>
      <c r="G34" s="10">
        <f>UPPER(LEFT(F34, 3)) &amp; "-" &amp; TEXT(LEN(F34), "00")</f>
        <v/>
      </c>
      <c r="H34" s="10" t="n">
        <v>100</v>
      </c>
      <c r="I34" s="17" t="n">
        <v>329.31</v>
      </c>
      <c r="J34" s="17">
        <f>H34*I34</f>
        <v/>
      </c>
      <c r="K34" s="18" t="n">
        <v>0</v>
      </c>
      <c r="L34" s="17">
        <f>J34*K34</f>
        <v/>
      </c>
      <c r="M34" s="17">
        <f>J34-L34</f>
        <v/>
      </c>
      <c r="N34" s="17">
        <f>J34*0.53</f>
        <v/>
      </c>
      <c r="O34" s="17">
        <f>M34-N34</f>
        <v/>
      </c>
      <c r="P34" s="18">
        <f>O34/M34</f>
        <v/>
      </c>
      <c r="Q34" s="16" t="inlineStr">
        <is>
          <t>2026-03-18</t>
        </is>
      </c>
      <c r="R34" s="16" t="inlineStr">
        <is>
          <t>2026-03-22</t>
        </is>
      </c>
      <c r="S34" s="10">
        <f>DATEDIF(Q34, R34, "d")</f>
        <v/>
      </c>
      <c r="T34" s="19">
        <f>EOMONTH(Q34, 0)</f>
        <v/>
      </c>
      <c r="U34" s="20">
        <f>NOW()</f>
        <v/>
      </c>
      <c r="V34" s="10">
        <f>IF(ISNUMBER(MATCH(C34, $X$5:$X$18, 0)), "VIP Match", "Standard")</f>
        <v/>
      </c>
    </row>
    <row r="35">
      <c r="A35" s="16" t="inlineStr">
        <is>
          <t>TXN-2031</t>
        </is>
      </c>
      <c r="B35" s="16" t="inlineStr">
        <is>
          <t>2026-03-28</t>
        </is>
      </c>
      <c r="C35" s="10" t="inlineStr">
        <is>
          <t>Customer 032</t>
        </is>
      </c>
      <c r="D35" s="10" t="inlineStr">
        <is>
          <t>Enterprise</t>
        </is>
      </c>
      <c r="E35" s="10" t="inlineStr">
        <is>
          <t>Central</t>
        </is>
      </c>
      <c r="F35" s="10" t="inlineStr">
        <is>
          <t>AI Insights Engine</t>
        </is>
      </c>
      <c r="G35" s="10">
        <f>UPPER(LEFT(F35, 3)) &amp; "-" &amp; TEXT(LEN(F35), "00")</f>
        <v/>
      </c>
      <c r="H35" s="10" t="n">
        <v>57</v>
      </c>
      <c r="I35" s="17" t="n">
        <v>85.31999999999999</v>
      </c>
      <c r="J35" s="17">
        <f>H35*I35</f>
        <v/>
      </c>
      <c r="K35" s="18" t="n">
        <v>0.1</v>
      </c>
      <c r="L35" s="17">
        <f>J35*K35</f>
        <v/>
      </c>
      <c r="M35" s="17">
        <f>J35-L35</f>
        <v/>
      </c>
      <c r="N35" s="17">
        <f>J35*0.63</f>
        <v/>
      </c>
      <c r="O35" s="17">
        <f>M35-N35</f>
        <v/>
      </c>
      <c r="P35" s="18">
        <f>O35/M35</f>
        <v/>
      </c>
      <c r="Q35" s="16" t="inlineStr">
        <is>
          <t>2026-03-28</t>
        </is>
      </c>
      <c r="R35" s="16" t="inlineStr">
        <is>
          <t>2026-03-30</t>
        </is>
      </c>
      <c r="S35" s="10">
        <f>DATEDIF(Q35, R35, "d")</f>
        <v/>
      </c>
      <c r="T35" s="19">
        <f>EOMONTH(Q35, 0)</f>
        <v/>
      </c>
      <c r="U35" s="20">
        <f>NOW()</f>
        <v/>
      </c>
      <c r="V35" s="10">
        <f>IF(ISNUMBER(MATCH(C35, $X$5:$X$18, 0)), "VIP Match", "Standard")</f>
        <v/>
      </c>
    </row>
    <row r="36">
      <c r="A36" s="16" t="inlineStr">
        <is>
          <t>TXN-2032</t>
        </is>
      </c>
      <c r="B36" s="16" t="inlineStr">
        <is>
          <t>2026-04-08</t>
        </is>
      </c>
      <c r="C36" s="10" t="inlineStr">
        <is>
          <t>Customer 034</t>
        </is>
      </c>
      <c r="D36" s="10" t="inlineStr">
        <is>
          <t>Corporate</t>
        </is>
      </c>
      <c r="E36" s="10" t="inlineStr">
        <is>
          <t>South</t>
        </is>
      </c>
      <c r="F36" s="10" t="inlineStr">
        <is>
          <t>Cloud Intelligence Suite</t>
        </is>
      </c>
      <c r="G36" s="10">
        <f>UPPER(LEFT(F36, 3)) &amp; "-" &amp; TEXT(LEN(F36), "00")</f>
        <v/>
      </c>
      <c r="H36" s="10" t="n">
        <v>45</v>
      </c>
      <c r="I36" s="17" t="n">
        <v>203.91</v>
      </c>
      <c r="J36" s="17">
        <f>H36*I36</f>
        <v/>
      </c>
      <c r="K36" s="18" t="n">
        <v>0</v>
      </c>
      <c r="L36" s="17">
        <f>J36*K36</f>
        <v/>
      </c>
      <c r="M36" s="17">
        <f>J36-L36</f>
        <v/>
      </c>
      <c r="N36" s="17">
        <f>J36*0.49</f>
        <v/>
      </c>
      <c r="O36" s="17">
        <f>M36-N36</f>
        <v/>
      </c>
      <c r="P36" s="18">
        <f>O36/M36</f>
        <v/>
      </c>
      <c r="Q36" s="16" t="inlineStr">
        <is>
          <t>2026-04-08</t>
        </is>
      </c>
      <c r="R36" s="16" t="inlineStr">
        <is>
          <t>2026-04-16</t>
        </is>
      </c>
      <c r="S36" s="10">
        <f>DATEDIF(Q36, R36, "d")</f>
        <v/>
      </c>
      <c r="T36" s="19">
        <f>EOMONTH(Q36, 0)</f>
        <v/>
      </c>
      <c r="U36" s="20">
        <f>NOW()</f>
        <v/>
      </c>
      <c r="V36" s="10">
        <f>IF(ISNUMBER(MATCH(C36, $X$5:$X$18, 0)), "VIP Match", "Standard")</f>
        <v/>
      </c>
    </row>
    <row r="37">
      <c r="A37" s="16" t="inlineStr">
        <is>
          <t>TXN-2033</t>
        </is>
      </c>
      <c r="B37" s="16" t="inlineStr">
        <is>
          <t>2026-06-12</t>
        </is>
      </c>
      <c r="C37" s="10" t="inlineStr">
        <is>
          <t>Customer 041</t>
        </is>
      </c>
      <c r="D37" s="10" t="inlineStr">
        <is>
          <t>Enterprise</t>
        </is>
      </c>
      <c r="E37" s="10" t="inlineStr">
        <is>
          <t>Central</t>
        </is>
      </c>
      <c r="F37" s="10" t="inlineStr">
        <is>
          <t>Data Vault Ultra</t>
        </is>
      </c>
      <c r="G37" s="10">
        <f>UPPER(LEFT(F37, 3)) &amp; "-" &amp; TEXT(LEN(F37), "00")</f>
        <v/>
      </c>
      <c r="H37" s="10" t="n">
        <v>99</v>
      </c>
      <c r="I37" s="17" t="n">
        <v>95</v>
      </c>
      <c r="J37" s="17">
        <f>H37*I37</f>
        <v/>
      </c>
      <c r="K37" s="18" t="n">
        <v>0</v>
      </c>
      <c r="L37" s="17">
        <f>J37*K37</f>
        <v/>
      </c>
      <c r="M37" s="17">
        <f>J37-L37</f>
        <v/>
      </c>
      <c r="N37" s="17">
        <f>J37*0.45</f>
        <v/>
      </c>
      <c r="O37" s="17">
        <f>M37-N37</f>
        <v/>
      </c>
      <c r="P37" s="18">
        <f>O37/M37</f>
        <v/>
      </c>
      <c r="Q37" s="16" t="inlineStr">
        <is>
          <t>2026-06-12</t>
        </is>
      </c>
      <c r="R37" s="16" t="inlineStr">
        <is>
          <t>2026-06-21</t>
        </is>
      </c>
      <c r="S37" s="10">
        <f>DATEDIF(Q37, R37, "d")</f>
        <v/>
      </c>
      <c r="T37" s="19">
        <f>EOMONTH(Q37, 0)</f>
        <v/>
      </c>
      <c r="U37" s="20">
        <f>NOW()</f>
        <v/>
      </c>
      <c r="V37" s="10">
        <f>IF(ISNUMBER(MATCH(C37, $X$5:$X$18, 0)), "VIP Match", "Standard")</f>
        <v/>
      </c>
    </row>
    <row r="38">
      <c r="A38" s="16" t="inlineStr">
        <is>
          <t>TXN-2034</t>
        </is>
      </c>
      <c r="B38" s="16" t="inlineStr">
        <is>
          <t>2026-01-18</t>
        </is>
      </c>
      <c r="C38" s="10" t="inlineStr">
        <is>
          <t>Customer 006</t>
        </is>
      </c>
      <c r="D38" s="10" t="inlineStr">
        <is>
          <t>Corporate</t>
        </is>
      </c>
      <c r="E38" s="10" t="inlineStr">
        <is>
          <t>West</t>
        </is>
      </c>
      <c r="F38" s="10" t="inlineStr">
        <is>
          <t>AI Insights Engine</t>
        </is>
      </c>
      <c r="G38" s="10">
        <f>UPPER(LEFT(F38, 3)) &amp; "-" &amp; TEXT(LEN(F38), "00")</f>
        <v/>
      </c>
      <c r="H38" s="10" t="n">
        <v>31</v>
      </c>
      <c r="I38" s="17" t="n">
        <v>353.25</v>
      </c>
      <c r="J38" s="17">
        <f>H38*I38</f>
        <v/>
      </c>
      <c r="K38" s="18" t="n">
        <v>0.15</v>
      </c>
      <c r="L38" s="17">
        <f>J38*K38</f>
        <v/>
      </c>
      <c r="M38" s="17">
        <f>J38-L38</f>
        <v/>
      </c>
      <c r="N38" s="17">
        <f>J38*0.62</f>
        <v/>
      </c>
      <c r="O38" s="17">
        <f>M38-N38</f>
        <v/>
      </c>
      <c r="P38" s="18">
        <f>O38/M38</f>
        <v/>
      </c>
      <c r="Q38" s="16" t="inlineStr">
        <is>
          <t>2026-01-18</t>
        </is>
      </c>
      <c r="R38" s="16" t="inlineStr">
        <is>
          <t>2026-01-30</t>
        </is>
      </c>
      <c r="S38" s="10">
        <f>DATEDIF(Q38, R38, "d")</f>
        <v/>
      </c>
      <c r="T38" s="19">
        <f>EOMONTH(Q38, 0)</f>
        <v/>
      </c>
      <c r="U38" s="20">
        <f>NOW()</f>
        <v/>
      </c>
      <c r="V38" s="10">
        <f>IF(ISNUMBER(MATCH(C38, $X$5:$X$18, 0)), "VIP Match", "Standard")</f>
        <v/>
      </c>
    </row>
    <row r="39">
      <c r="A39" s="16" t="inlineStr">
        <is>
          <t>TXN-2035</t>
        </is>
      </c>
      <c r="B39" s="16" t="inlineStr">
        <is>
          <t>2026-02-23</t>
        </is>
      </c>
      <c r="C39" s="10" t="inlineStr">
        <is>
          <t>Customer 001</t>
        </is>
      </c>
      <c r="D39" s="10" t="inlineStr">
        <is>
          <t>Wholesale</t>
        </is>
      </c>
      <c r="E39" s="10" t="inlineStr">
        <is>
          <t>Central</t>
        </is>
      </c>
      <c r="F39" s="10" t="inlineStr">
        <is>
          <t>Smart Metrics Dashboard</t>
        </is>
      </c>
      <c r="G39" s="10">
        <f>UPPER(LEFT(F39, 3)) &amp; "-" &amp; TEXT(LEN(F39), "00")</f>
        <v/>
      </c>
      <c r="H39" s="10" t="n">
        <v>56</v>
      </c>
      <c r="I39" s="17" t="n">
        <v>421.66</v>
      </c>
      <c r="J39" s="17">
        <f>H39*I39</f>
        <v/>
      </c>
      <c r="K39" s="18" t="n">
        <v>0.1</v>
      </c>
      <c r="L39" s="17">
        <f>J39*K39</f>
        <v/>
      </c>
      <c r="M39" s="17">
        <f>J39-L39</f>
        <v/>
      </c>
      <c r="N39" s="17">
        <f>J39*0.48</f>
        <v/>
      </c>
      <c r="O39" s="17">
        <f>M39-N39</f>
        <v/>
      </c>
      <c r="P39" s="18">
        <f>O39/M39</f>
        <v/>
      </c>
      <c r="Q39" s="16" t="inlineStr">
        <is>
          <t>2026-02-23</t>
        </is>
      </c>
      <c r="R39" s="16" t="inlineStr">
        <is>
          <t>2026-03-05</t>
        </is>
      </c>
      <c r="S39" s="10">
        <f>DATEDIF(Q39, R39, "d")</f>
        <v/>
      </c>
      <c r="T39" s="19">
        <f>EOMONTH(Q39, 0)</f>
        <v/>
      </c>
      <c r="U39" s="20">
        <f>NOW()</f>
        <v/>
      </c>
      <c r="V39" s="10">
        <f>IF(ISNUMBER(MATCH(C39, $X$5:$X$18, 0)), "VIP Match", "Standard")</f>
        <v/>
      </c>
    </row>
    <row r="40">
      <c r="A40" s="16" t="inlineStr">
        <is>
          <t>TXN-2036</t>
        </is>
      </c>
      <c r="B40" s="16" t="inlineStr">
        <is>
          <t>2026-02-06</t>
        </is>
      </c>
      <c r="C40" s="10" t="inlineStr">
        <is>
          <t>Customer 006</t>
        </is>
      </c>
      <c r="D40" s="10" t="inlineStr">
        <is>
          <t>Wholesale</t>
        </is>
      </c>
      <c r="E40" s="10" t="inlineStr">
        <is>
          <t>North</t>
        </is>
      </c>
      <c r="F40" s="10" t="inlineStr">
        <is>
          <t>AI Insights Engine</t>
        </is>
      </c>
      <c r="G40" s="10">
        <f>UPPER(LEFT(F40, 3)) &amp; "-" &amp; TEXT(LEN(F40), "00")</f>
        <v/>
      </c>
      <c r="H40" s="10" t="n">
        <v>20</v>
      </c>
      <c r="I40" s="17" t="n">
        <v>453</v>
      </c>
      <c r="J40" s="17">
        <f>H40*I40</f>
        <v/>
      </c>
      <c r="K40" s="18" t="n">
        <v>0.15</v>
      </c>
      <c r="L40" s="17">
        <f>J40*K40</f>
        <v/>
      </c>
      <c r="M40" s="17">
        <f>J40-L40</f>
        <v/>
      </c>
      <c r="N40" s="17">
        <f>J40*0.62</f>
        <v/>
      </c>
      <c r="O40" s="17">
        <f>M40-N40</f>
        <v/>
      </c>
      <c r="P40" s="18">
        <f>O40/M40</f>
        <v/>
      </c>
      <c r="Q40" s="16" t="inlineStr">
        <is>
          <t>2026-02-06</t>
        </is>
      </c>
      <c r="R40" s="16" t="inlineStr">
        <is>
          <t>2026-02-18</t>
        </is>
      </c>
      <c r="S40" s="10">
        <f>DATEDIF(Q40, R40, "d")</f>
        <v/>
      </c>
      <c r="T40" s="19">
        <f>EOMONTH(Q40, 0)</f>
        <v/>
      </c>
      <c r="U40" s="20">
        <f>NOW()</f>
        <v/>
      </c>
      <c r="V40" s="10">
        <f>IF(ISNUMBER(MATCH(C40, $X$5:$X$18, 0)), "VIP Match", "Standard")</f>
        <v/>
      </c>
    </row>
    <row r="41">
      <c r="A41" s="16" t="inlineStr">
        <is>
          <t>TXN-2037</t>
        </is>
      </c>
      <c r="B41" s="16" t="inlineStr">
        <is>
          <t>2026-03-17</t>
        </is>
      </c>
      <c r="C41" s="10" t="inlineStr">
        <is>
          <t>Customer 028</t>
        </is>
      </c>
      <c r="D41" s="10" t="inlineStr">
        <is>
          <t>Corporate</t>
        </is>
      </c>
      <c r="E41" s="10" t="inlineStr">
        <is>
          <t>South</t>
        </is>
      </c>
      <c r="F41" s="10" t="inlineStr">
        <is>
          <t>AI Insights Engine</t>
        </is>
      </c>
      <c r="G41" s="10">
        <f>UPPER(LEFT(F41, 3)) &amp; "-" &amp; TEXT(LEN(F41), "00")</f>
        <v/>
      </c>
      <c r="H41" s="10" t="n">
        <v>60</v>
      </c>
      <c r="I41" s="17" t="n">
        <v>377.2</v>
      </c>
      <c r="J41" s="17">
        <f>H41*I41</f>
        <v/>
      </c>
      <c r="K41" s="18" t="n">
        <v>0.15</v>
      </c>
      <c r="L41" s="17">
        <f>J41*K41</f>
        <v/>
      </c>
      <c r="M41" s="17">
        <f>J41-L41</f>
        <v/>
      </c>
      <c r="N41" s="17">
        <f>J41*0.50</f>
        <v/>
      </c>
      <c r="O41" s="17">
        <f>M41-N41</f>
        <v/>
      </c>
      <c r="P41" s="18">
        <f>O41/M41</f>
        <v/>
      </c>
      <c r="Q41" s="16" t="inlineStr">
        <is>
          <t>2026-03-17</t>
        </is>
      </c>
      <c r="R41" s="16" t="inlineStr">
        <is>
          <t>2026-03-23</t>
        </is>
      </c>
      <c r="S41" s="10">
        <f>DATEDIF(Q41, R41, "d")</f>
        <v/>
      </c>
      <c r="T41" s="19">
        <f>EOMONTH(Q41, 0)</f>
        <v/>
      </c>
      <c r="U41" s="20">
        <f>NOW()</f>
        <v/>
      </c>
      <c r="V41" s="10">
        <f>IF(ISNUMBER(MATCH(C41, $X$5:$X$18, 0)), "VIP Match", "Standard")</f>
        <v/>
      </c>
    </row>
    <row r="42">
      <c r="A42" s="16" t="inlineStr">
        <is>
          <t>TXN-2038</t>
        </is>
      </c>
      <c r="B42" s="16" t="inlineStr">
        <is>
          <t>2026-04-02</t>
        </is>
      </c>
      <c r="C42" s="10" t="inlineStr">
        <is>
          <t>Customer 045</t>
        </is>
      </c>
      <c r="D42" s="10" t="inlineStr">
        <is>
          <t>Wholesale</t>
        </is>
      </c>
      <c r="E42" s="10" t="inlineStr">
        <is>
          <t>Central</t>
        </is>
      </c>
      <c r="F42" s="10" t="inlineStr">
        <is>
          <t>Smart Metrics Dashboard</t>
        </is>
      </c>
      <c r="G42" s="10">
        <f>UPPER(LEFT(F42, 3)) &amp; "-" &amp; TEXT(LEN(F42), "00")</f>
        <v/>
      </c>
      <c r="H42" s="10" t="n">
        <v>110</v>
      </c>
      <c r="I42" s="17" t="n">
        <v>89.79000000000001</v>
      </c>
      <c r="J42" s="17">
        <f>H42*I42</f>
        <v/>
      </c>
      <c r="K42" s="18" t="n">
        <v>0.05</v>
      </c>
      <c r="L42" s="17">
        <f>J42*K42</f>
        <v/>
      </c>
      <c r="M42" s="17">
        <f>J42-L42</f>
        <v/>
      </c>
      <c r="N42" s="17">
        <f>J42*0.49</f>
        <v/>
      </c>
      <c r="O42" s="17">
        <f>M42-N42</f>
        <v/>
      </c>
      <c r="P42" s="18">
        <f>O42/M42</f>
        <v/>
      </c>
      <c r="Q42" s="16" t="inlineStr">
        <is>
          <t>2026-04-02</t>
        </is>
      </c>
      <c r="R42" s="16" t="inlineStr">
        <is>
          <t>2026-04-06</t>
        </is>
      </c>
      <c r="S42" s="10">
        <f>DATEDIF(Q42, R42, "d")</f>
        <v/>
      </c>
      <c r="T42" s="19">
        <f>EOMONTH(Q42, 0)</f>
        <v/>
      </c>
      <c r="U42" s="20">
        <f>NOW()</f>
        <v/>
      </c>
      <c r="V42" s="10">
        <f>IF(ISNUMBER(MATCH(C42, $X$5:$X$18, 0)), "VIP Match", "Standard")</f>
        <v/>
      </c>
    </row>
    <row r="43">
      <c r="A43" s="16" t="inlineStr">
        <is>
          <t>TXN-2039</t>
        </is>
      </c>
      <c r="B43" s="16" t="inlineStr">
        <is>
          <t>2026-06-19</t>
        </is>
      </c>
      <c r="C43" s="10" t="inlineStr">
        <is>
          <t>Customer 046</t>
        </is>
      </c>
      <c r="D43" s="10" t="inlineStr">
        <is>
          <t>Wholesale</t>
        </is>
      </c>
      <c r="E43" s="10" t="inlineStr">
        <is>
          <t>East</t>
        </is>
      </c>
      <c r="F43" s="10" t="inlineStr">
        <is>
          <t>Smart Metrics Dashboard</t>
        </is>
      </c>
      <c r="G43" s="10">
        <f>UPPER(LEFT(F43, 3)) &amp; "-" &amp; TEXT(LEN(F43), "00")</f>
        <v/>
      </c>
      <c r="H43" s="10" t="n">
        <v>66</v>
      </c>
      <c r="I43" s="17" t="n">
        <v>202.29</v>
      </c>
      <c r="J43" s="17">
        <f>H43*I43</f>
        <v/>
      </c>
      <c r="K43" s="18" t="n">
        <v>0</v>
      </c>
      <c r="L43" s="17">
        <f>J43*K43</f>
        <v/>
      </c>
      <c r="M43" s="17">
        <f>J43-L43</f>
        <v/>
      </c>
      <c r="N43" s="17">
        <f>J43*0.52</f>
        <v/>
      </c>
      <c r="O43" s="17">
        <f>M43-N43</f>
        <v/>
      </c>
      <c r="P43" s="18">
        <f>O43/M43</f>
        <v/>
      </c>
      <c r="Q43" s="16" t="inlineStr">
        <is>
          <t>2026-06-19</t>
        </is>
      </c>
      <c r="R43" s="16" t="inlineStr">
        <is>
          <t>2026-06-28</t>
        </is>
      </c>
      <c r="S43" s="10">
        <f>DATEDIF(Q43, R43, "d")</f>
        <v/>
      </c>
      <c r="T43" s="19">
        <f>EOMONTH(Q43, 0)</f>
        <v/>
      </c>
      <c r="U43" s="20">
        <f>NOW()</f>
        <v/>
      </c>
      <c r="V43" s="10">
        <f>IF(ISNUMBER(MATCH(C43, $X$5:$X$18, 0)), "VIP Match", "Standard")</f>
        <v/>
      </c>
    </row>
    <row r="44">
      <c r="A44" s="16" t="inlineStr">
        <is>
          <t>TXN-2040</t>
        </is>
      </c>
      <c r="B44" s="16" t="inlineStr">
        <is>
          <t>2026-03-30</t>
        </is>
      </c>
      <c r="C44" s="10" t="inlineStr">
        <is>
          <t>Customer 030</t>
        </is>
      </c>
      <c r="D44" s="10" t="inlineStr">
        <is>
          <t>Retail</t>
        </is>
      </c>
      <c r="E44" s="10" t="inlineStr">
        <is>
          <t>West</t>
        </is>
      </c>
      <c r="F44" s="10" t="inlineStr">
        <is>
          <t>Enterprise Analytics Pro</t>
        </is>
      </c>
      <c r="G44" s="10">
        <f>UPPER(LEFT(F44, 3)) &amp; "-" &amp; TEXT(LEN(F44), "00")</f>
        <v/>
      </c>
      <c r="H44" s="10" t="n">
        <v>74</v>
      </c>
      <c r="I44" s="17" t="n">
        <v>103.71</v>
      </c>
      <c r="J44" s="17">
        <f>H44*I44</f>
        <v/>
      </c>
      <c r="K44" s="18" t="n">
        <v>0.1</v>
      </c>
      <c r="L44" s="17">
        <f>J44*K44</f>
        <v/>
      </c>
      <c r="M44" s="17">
        <f>J44-L44</f>
        <v/>
      </c>
      <c r="N44" s="17">
        <f>J44*0.49</f>
        <v/>
      </c>
      <c r="O44" s="17">
        <f>M44-N44</f>
        <v/>
      </c>
      <c r="P44" s="18">
        <f>O44/M44</f>
        <v/>
      </c>
      <c r="Q44" s="16" t="inlineStr">
        <is>
          <t>2026-03-30</t>
        </is>
      </c>
      <c r="R44" s="16" t="inlineStr">
        <is>
          <t>2026-04-05</t>
        </is>
      </c>
      <c r="S44" s="10">
        <f>DATEDIF(Q44, R44, "d")</f>
        <v/>
      </c>
      <c r="T44" s="19">
        <f>EOMONTH(Q44, 0)</f>
        <v/>
      </c>
      <c r="U44" s="20">
        <f>NOW()</f>
        <v/>
      </c>
      <c r="V44" s="10">
        <f>IF(ISNUMBER(MATCH(C44, $X$5:$X$18, 0)), "VIP Match", "Standard")</f>
        <v/>
      </c>
    </row>
    <row r="45">
      <c r="A45" s="16" t="inlineStr">
        <is>
          <t>TXN-2041</t>
        </is>
      </c>
      <c r="B45" s="16" t="inlineStr">
        <is>
          <t>2026-02-26</t>
        </is>
      </c>
      <c r="C45" s="10" t="inlineStr">
        <is>
          <t>Customer 047</t>
        </is>
      </c>
      <c r="D45" s="10" t="inlineStr">
        <is>
          <t>Corporate</t>
        </is>
      </c>
      <c r="E45" s="10" t="inlineStr">
        <is>
          <t>West</t>
        </is>
      </c>
      <c r="F45" s="10" t="inlineStr">
        <is>
          <t>Smart Metrics Dashboard</t>
        </is>
      </c>
      <c r="G45" s="10">
        <f>UPPER(LEFT(F45, 3)) &amp; "-" &amp; TEXT(LEN(F45), "00")</f>
        <v/>
      </c>
      <c r="H45" s="10" t="n">
        <v>26</v>
      </c>
      <c r="I45" s="17" t="n">
        <v>104.77</v>
      </c>
      <c r="J45" s="17">
        <f>H45*I45</f>
        <v/>
      </c>
      <c r="K45" s="18" t="n">
        <v>0.2</v>
      </c>
      <c r="L45" s="17">
        <f>J45*K45</f>
        <v/>
      </c>
      <c r="M45" s="17">
        <f>J45-L45</f>
        <v/>
      </c>
      <c r="N45" s="17">
        <f>J45*0.49</f>
        <v/>
      </c>
      <c r="O45" s="17">
        <f>M45-N45</f>
        <v/>
      </c>
      <c r="P45" s="18">
        <f>O45/M45</f>
        <v/>
      </c>
      <c r="Q45" s="16" t="inlineStr">
        <is>
          <t>2026-02-26</t>
        </is>
      </c>
      <c r="R45" s="16" t="inlineStr">
        <is>
          <t>2026-02-28</t>
        </is>
      </c>
      <c r="S45" s="10">
        <f>DATEDIF(Q45, R45, "d")</f>
        <v/>
      </c>
      <c r="T45" s="19">
        <f>EOMONTH(Q45, 0)</f>
        <v/>
      </c>
      <c r="U45" s="20">
        <f>NOW()</f>
        <v/>
      </c>
      <c r="V45" s="10">
        <f>IF(ISNUMBER(MATCH(C45, $X$5:$X$18, 0)), "VIP Match", "Standard")</f>
        <v/>
      </c>
    </row>
    <row r="46">
      <c r="A46" s="16" t="inlineStr">
        <is>
          <t>TXN-2042</t>
        </is>
      </c>
      <c r="B46" s="16" t="inlineStr">
        <is>
          <t>2026-02-11</t>
        </is>
      </c>
      <c r="C46" s="10" t="inlineStr">
        <is>
          <t>Customer 030</t>
        </is>
      </c>
      <c r="D46" s="10" t="inlineStr">
        <is>
          <t>Corporate</t>
        </is>
      </c>
      <c r="E46" s="10" t="inlineStr">
        <is>
          <t>East</t>
        </is>
      </c>
      <c r="F46" s="10" t="inlineStr">
        <is>
          <t>Enterprise Analytics Pro</t>
        </is>
      </c>
      <c r="G46" s="10">
        <f>UPPER(LEFT(F46, 3)) &amp; "-" &amp; TEXT(LEN(F46), "00")</f>
        <v/>
      </c>
      <c r="H46" s="10" t="n">
        <v>65</v>
      </c>
      <c r="I46" s="17" t="n">
        <v>315.25</v>
      </c>
      <c r="J46" s="17">
        <f>H46*I46</f>
        <v/>
      </c>
      <c r="K46" s="18" t="n">
        <v>0.15</v>
      </c>
      <c r="L46" s="17">
        <f>J46*K46</f>
        <v/>
      </c>
      <c r="M46" s="17">
        <f>J46-L46</f>
        <v/>
      </c>
      <c r="N46" s="17">
        <f>J46*0.56</f>
        <v/>
      </c>
      <c r="O46" s="17">
        <f>M46-N46</f>
        <v/>
      </c>
      <c r="P46" s="18">
        <f>O46/M46</f>
        <v/>
      </c>
      <c r="Q46" s="16" t="inlineStr">
        <is>
          <t>2026-02-11</t>
        </is>
      </c>
      <c r="R46" s="16" t="inlineStr">
        <is>
          <t>2026-02-20</t>
        </is>
      </c>
      <c r="S46" s="10">
        <f>DATEDIF(Q46, R46, "d")</f>
        <v/>
      </c>
      <c r="T46" s="19">
        <f>EOMONTH(Q46, 0)</f>
        <v/>
      </c>
      <c r="U46" s="20">
        <f>NOW()</f>
        <v/>
      </c>
      <c r="V46" s="10">
        <f>IF(ISNUMBER(MATCH(C46, $X$5:$X$18, 0)), "VIP Match", "Standard")</f>
        <v/>
      </c>
    </row>
    <row r="47">
      <c r="A47" s="16" t="inlineStr">
        <is>
          <t>TXN-2043</t>
        </is>
      </c>
      <c r="B47" s="16" t="inlineStr">
        <is>
          <t>2026-05-25</t>
        </is>
      </c>
      <c r="C47" s="10" t="inlineStr">
        <is>
          <t>Customer 046</t>
        </is>
      </c>
      <c r="D47" s="10" t="inlineStr">
        <is>
          <t>Corporate</t>
        </is>
      </c>
      <c r="E47" s="10" t="inlineStr">
        <is>
          <t>South</t>
        </is>
      </c>
      <c r="F47" s="10" t="inlineStr">
        <is>
          <t>Smart Metrics Dashboard</t>
        </is>
      </c>
      <c r="G47" s="10">
        <f>UPPER(LEFT(F47, 3)) &amp; "-" &amp; TEXT(LEN(F47), "00")</f>
        <v/>
      </c>
      <c r="H47" s="10" t="n">
        <v>94</v>
      </c>
      <c r="I47" s="17" t="n">
        <v>108.61</v>
      </c>
      <c r="J47" s="17">
        <f>H47*I47</f>
        <v/>
      </c>
      <c r="K47" s="18" t="n">
        <v>0.05</v>
      </c>
      <c r="L47" s="17">
        <f>J47*K47</f>
        <v/>
      </c>
      <c r="M47" s="17">
        <f>J47-L47</f>
        <v/>
      </c>
      <c r="N47" s="17">
        <f>J47*0.58</f>
        <v/>
      </c>
      <c r="O47" s="17">
        <f>M47-N47</f>
        <v/>
      </c>
      <c r="P47" s="18">
        <f>O47/M47</f>
        <v/>
      </c>
      <c r="Q47" s="16" t="inlineStr">
        <is>
          <t>2026-05-25</t>
        </is>
      </c>
      <c r="R47" s="16" t="inlineStr">
        <is>
          <t>2026-05-27</t>
        </is>
      </c>
      <c r="S47" s="10">
        <f>DATEDIF(Q47, R47, "d")</f>
        <v/>
      </c>
      <c r="T47" s="19">
        <f>EOMONTH(Q47, 0)</f>
        <v/>
      </c>
      <c r="U47" s="20">
        <f>NOW()</f>
        <v/>
      </c>
      <c r="V47" s="10">
        <f>IF(ISNUMBER(MATCH(C47, $X$5:$X$18, 0)), "VIP Match", "Standard")</f>
        <v/>
      </c>
    </row>
    <row r="48">
      <c r="A48" s="16" t="inlineStr">
        <is>
          <t>TXN-2044</t>
        </is>
      </c>
      <c r="B48" s="16" t="inlineStr">
        <is>
          <t>2026-05-10</t>
        </is>
      </c>
      <c r="C48" s="10" t="inlineStr">
        <is>
          <t>Customer 032</t>
        </is>
      </c>
      <c r="D48" s="10" t="inlineStr">
        <is>
          <t>Wholesale</t>
        </is>
      </c>
      <c r="E48" s="10" t="inlineStr">
        <is>
          <t>East</t>
        </is>
      </c>
      <c r="F48" s="10" t="inlineStr">
        <is>
          <t>AI Insights Engine</t>
        </is>
      </c>
      <c r="G48" s="10">
        <f>UPPER(LEFT(F48, 3)) &amp; "-" &amp; TEXT(LEN(F48), "00")</f>
        <v/>
      </c>
      <c r="H48" s="10" t="n">
        <v>91</v>
      </c>
      <c r="I48" s="17" t="n">
        <v>299.99</v>
      </c>
      <c r="J48" s="17">
        <f>H48*I48</f>
        <v/>
      </c>
      <c r="K48" s="18" t="n">
        <v>0.15</v>
      </c>
      <c r="L48" s="17">
        <f>J48*K48</f>
        <v/>
      </c>
      <c r="M48" s="17">
        <f>J48-L48</f>
        <v/>
      </c>
      <c r="N48" s="17">
        <f>J48*0.64</f>
        <v/>
      </c>
      <c r="O48" s="17">
        <f>M48-N48</f>
        <v/>
      </c>
      <c r="P48" s="18">
        <f>O48/M48</f>
        <v/>
      </c>
      <c r="Q48" s="16" t="inlineStr">
        <is>
          <t>2026-05-10</t>
        </is>
      </c>
      <c r="R48" s="16" t="inlineStr">
        <is>
          <t>2026-05-11</t>
        </is>
      </c>
      <c r="S48" s="10">
        <f>DATEDIF(Q48, R48, "d")</f>
        <v/>
      </c>
      <c r="T48" s="19">
        <f>EOMONTH(Q48, 0)</f>
        <v/>
      </c>
      <c r="U48" s="20">
        <f>NOW()</f>
        <v/>
      </c>
      <c r="V48" s="10">
        <f>IF(ISNUMBER(MATCH(C48, $X$5:$X$18, 0)), "VIP Match", "Standard")</f>
        <v/>
      </c>
    </row>
    <row r="49">
      <c r="A49" s="16" t="inlineStr">
        <is>
          <t>TXN-2045</t>
        </is>
      </c>
      <c r="B49" s="16" t="inlineStr">
        <is>
          <t>2026-04-15</t>
        </is>
      </c>
      <c r="C49" s="10" t="inlineStr">
        <is>
          <t>Customer 024</t>
        </is>
      </c>
      <c r="D49" s="10" t="inlineStr">
        <is>
          <t>Retail</t>
        </is>
      </c>
      <c r="E49" s="10" t="inlineStr">
        <is>
          <t>West</t>
        </is>
      </c>
      <c r="F49" s="10" t="inlineStr">
        <is>
          <t>Cloud Intelligence Suite</t>
        </is>
      </c>
      <c r="G49" s="10">
        <f>UPPER(LEFT(F49, 3)) &amp; "-" &amp; TEXT(LEN(F49), "00")</f>
        <v/>
      </c>
      <c r="H49" s="10" t="n">
        <v>17</v>
      </c>
      <c r="I49" s="17" t="n">
        <v>465.32</v>
      </c>
      <c r="J49" s="17">
        <f>H49*I49</f>
        <v/>
      </c>
      <c r="K49" s="18" t="n">
        <v>0.1</v>
      </c>
      <c r="L49" s="17">
        <f>J49*K49</f>
        <v/>
      </c>
      <c r="M49" s="17">
        <f>J49-L49</f>
        <v/>
      </c>
      <c r="N49" s="17">
        <f>J49*0.48</f>
        <v/>
      </c>
      <c r="O49" s="17">
        <f>M49-N49</f>
        <v/>
      </c>
      <c r="P49" s="18">
        <f>O49/M49</f>
        <v/>
      </c>
      <c r="Q49" s="16" t="inlineStr">
        <is>
          <t>2026-04-15</t>
        </is>
      </c>
      <c r="R49" s="16" t="inlineStr">
        <is>
          <t>2026-04-17</t>
        </is>
      </c>
      <c r="S49" s="10">
        <f>DATEDIF(Q49, R49, "d")</f>
        <v/>
      </c>
      <c r="T49" s="19">
        <f>EOMONTH(Q49, 0)</f>
        <v/>
      </c>
      <c r="U49" s="20">
        <f>NOW()</f>
        <v/>
      </c>
      <c r="V49" s="10">
        <f>IF(ISNUMBER(MATCH(C49, $X$5:$X$18, 0)), "VIP Match", "Standard")</f>
        <v/>
      </c>
    </row>
    <row r="50">
      <c r="A50" s="16" t="inlineStr">
        <is>
          <t>TXN-2046</t>
        </is>
      </c>
      <c r="B50" s="16" t="inlineStr">
        <is>
          <t>2026-05-18</t>
        </is>
      </c>
      <c r="C50" s="10" t="inlineStr">
        <is>
          <t>Customer 001</t>
        </is>
      </c>
      <c r="D50" s="10" t="inlineStr">
        <is>
          <t>Retail</t>
        </is>
      </c>
      <c r="E50" s="10" t="inlineStr">
        <is>
          <t>West</t>
        </is>
      </c>
      <c r="F50" s="10" t="inlineStr">
        <is>
          <t>Enterprise Analytics Pro</t>
        </is>
      </c>
      <c r="G50" s="10">
        <f>UPPER(LEFT(F50, 3)) &amp; "-" &amp; TEXT(LEN(F50), "00")</f>
        <v/>
      </c>
      <c r="H50" s="10" t="n">
        <v>64</v>
      </c>
      <c r="I50" s="17" t="n">
        <v>281.2</v>
      </c>
      <c r="J50" s="17">
        <f>H50*I50</f>
        <v/>
      </c>
      <c r="K50" s="18" t="n">
        <v>0</v>
      </c>
      <c r="L50" s="17">
        <f>J50*K50</f>
        <v/>
      </c>
      <c r="M50" s="17">
        <f>J50-L50</f>
        <v/>
      </c>
      <c r="N50" s="17">
        <f>J50*0.54</f>
        <v/>
      </c>
      <c r="O50" s="17">
        <f>M50-N50</f>
        <v/>
      </c>
      <c r="P50" s="18">
        <f>O50/M50</f>
        <v/>
      </c>
      <c r="Q50" s="16" t="inlineStr">
        <is>
          <t>2026-05-18</t>
        </is>
      </c>
      <c r="R50" s="16" t="inlineStr">
        <is>
          <t>2026-05-22</t>
        </is>
      </c>
      <c r="S50" s="10">
        <f>DATEDIF(Q50, R50, "d")</f>
        <v/>
      </c>
      <c r="T50" s="19">
        <f>EOMONTH(Q50, 0)</f>
        <v/>
      </c>
      <c r="U50" s="20">
        <f>NOW()</f>
        <v/>
      </c>
      <c r="V50" s="10">
        <f>IF(ISNUMBER(MATCH(C50, $X$5:$X$18, 0)), "VIP Match", "Standard")</f>
        <v/>
      </c>
    </row>
    <row r="51">
      <c r="A51" s="16" t="inlineStr">
        <is>
          <t>TXN-2047</t>
        </is>
      </c>
      <c r="B51" s="16" t="inlineStr">
        <is>
          <t>2026-02-21</t>
        </is>
      </c>
      <c r="C51" s="10" t="inlineStr">
        <is>
          <t>Customer 045</t>
        </is>
      </c>
      <c r="D51" s="10" t="inlineStr">
        <is>
          <t>Enterprise</t>
        </is>
      </c>
      <c r="E51" s="10" t="inlineStr">
        <is>
          <t>East</t>
        </is>
      </c>
      <c r="F51" s="10" t="inlineStr">
        <is>
          <t>Cloud Intelligence Suite</t>
        </is>
      </c>
      <c r="G51" s="10">
        <f>UPPER(LEFT(F51, 3)) &amp; "-" &amp; TEXT(LEN(F51), "00")</f>
        <v/>
      </c>
      <c r="H51" s="10" t="n">
        <v>55</v>
      </c>
      <c r="I51" s="17" t="n">
        <v>54.32</v>
      </c>
      <c r="J51" s="17">
        <f>H51*I51</f>
        <v/>
      </c>
      <c r="K51" s="18" t="n">
        <v>0.2</v>
      </c>
      <c r="L51" s="17">
        <f>J51*K51</f>
        <v/>
      </c>
      <c r="M51" s="17">
        <f>J51-L51</f>
        <v/>
      </c>
      <c r="N51" s="17">
        <f>J51*0.51</f>
        <v/>
      </c>
      <c r="O51" s="17">
        <f>M51-N51</f>
        <v/>
      </c>
      <c r="P51" s="18">
        <f>O51/M51</f>
        <v/>
      </c>
      <c r="Q51" s="16" t="inlineStr">
        <is>
          <t>2026-02-21</t>
        </is>
      </c>
      <c r="R51" s="16" t="inlineStr">
        <is>
          <t>2026-03-02</t>
        </is>
      </c>
      <c r="S51" s="10">
        <f>DATEDIF(Q51, R51, "d")</f>
        <v/>
      </c>
      <c r="T51" s="19">
        <f>EOMONTH(Q51, 0)</f>
        <v/>
      </c>
      <c r="U51" s="20">
        <f>NOW()</f>
        <v/>
      </c>
      <c r="V51" s="10">
        <f>IF(ISNUMBER(MATCH(C51, $X$5:$X$18, 0)), "VIP Match", "Standard")</f>
        <v/>
      </c>
    </row>
    <row r="52">
      <c r="A52" s="16" t="inlineStr">
        <is>
          <t>TXN-2048</t>
        </is>
      </c>
      <c r="B52" s="16" t="inlineStr">
        <is>
          <t>2026-01-08</t>
        </is>
      </c>
      <c r="C52" s="10" t="inlineStr">
        <is>
          <t>Customer 039</t>
        </is>
      </c>
      <c r="D52" s="10" t="inlineStr">
        <is>
          <t>Retail</t>
        </is>
      </c>
      <c r="E52" s="10" t="inlineStr">
        <is>
          <t>Central</t>
        </is>
      </c>
      <c r="F52" s="10" t="inlineStr">
        <is>
          <t>Smart Metrics Dashboard</t>
        </is>
      </c>
      <c r="G52" s="10">
        <f>UPPER(LEFT(F52, 3)) &amp; "-" &amp; TEXT(LEN(F52), "00")</f>
        <v/>
      </c>
      <c r="H52" s="10" t="n">
        <v>106</v>
      </c>
      <c r="I52" s="17" t="n">
        <v>435.23</v>
      </c>
      <c r="J52" s="17">
        <f>H52*I52</f>
        <v/>
      </c>
      <c r="K52" s="18" t="n">
        <v>0.2</v>
      </c>
      <c r="L52" s="17">
        <f>J52*K52</f>
        <v/>
      </c>
      <c r="M52" s="17">
        <f>J52-L52</f>
        <v/>
      </c>
      <c r="N52" s="17">
        <f>J52*0.58</f>
        <v/>
      </c>
      <c r="O52" s="17">
        <f>M52-N52</f>
        <v/>
      </c>
      <c r="P52" s="18">
        <f>O52/M52</f>
        <v/>
      </c>
      <c r="Q52" s="16" t="inlineStr">
        <is>
          <t>2026-01-08</t>
        </is>
      </c>
      <c r="R52" s="16" t="inlineStr">
        <is>
          <t>2026-01-14</t>
        </is>
      </c>
      <c r="S52" s="10">
        <f>DATEDIF(Q52, R52, "d")</f>
        <v/>
      </c>
      <c r="T52" s="19">
        <f>EOMONTH(Q52, 0)</f>
        <v/>
      </c>
      <c r="U52" s="20">
        <f>NOW()</f>
        <v/>
      </c>
      <c r="V52" s="10">
        <f>IF(ISNUMBER(MATCH(C52, $X$5:$X$18, 0)), "VIP Match", "Standard")</f>
        <v/>
      </c>
    </row>
    <row r="53">
      <c r="A53" s="16" t="inlineStr">
        <is>
          <t>TXN-2049</t>
        </is>
      </c>
      <c r="B53" s="16" t="inlineStr">
        <is>
          <t>2026-06-20</t>
        </is>
      </c>
      <c r="C53" s="10" t="inlineStr">
        <is>
          <t>Customer 045</t>
        </is>
      </c>
      <c r="D53" s="10" t="inlineStr">
        <is>
          <t>Corporate</t>
        </is>
      </c>
      <c r="E53" s="10" t="inlineStr">
        <is>
          <t>South</t>
        </is>
      </c>
      <c r="F53" s="10" t="inlineStr">
        <is>
          <t>Smart Metrics Dashboard</t>
        </is>
      </c>
      <c r="G53" s="10">
        <f>UPPER(LEFT(F53, 3)) &amp; "-" &amp; TEXT(LEN(F53), "00")</f>
        <v/>
      </c>
      <c r="H53" s="10" t="n">
        <v>103</v>
      </c>
      <c r="I53" s="17" t="n">
        <v>464.12</v>
      </c>
      <c r="J53" s="17">
        <f>H53*I53</f>
        <v/>
      </c>
      <c r="K53" s="18" t="n">
        <v>0.15</v>
      </c>
      <c r="L53" s="17">
        <f>J53*K53</f>
        <v/>
      </c>
      <c r="M53" s="17">
        <f>J53-L53</f>
        <v/>
      </c>
      <c r="N53" s="17">
        <f>J53*0.57</f>
        <v/>
      </c>
      <c r="O53" s="17">
        <f>M53-N53</f>
        <v/>
      </c>
      <c r="P53" s="18">
        <f>O53/M53</f>
        <v/>
      </c>
      <c r="Q53" s="16" t="inlineStr">
        <is>
          <t>2026-06-20</t>
        </is>
      </c>
      <c r="R53" s="16" t="inlineStr">
        <is>
          <t>2026-06-23</t>
        </is>
      </c>
      <c r="S53" s="10">
        <f>DATEDIF(Q53, R53, "d")</f>
        <v/>
      </c>
      <c r="T53" s="19">
        <f>EOMONTH(Q53, 0)</f>
        <v/>
      </c>
      <c r="U53" s="20">
        <f>NOW()</f>
        <v/>
      </c>
      <c r="V53" s="10">
        <f>IF(ISNUMBER(MATCH(C53, $X$5:$X$18, 0)), "VIP Match", "Standard")</f>
        <v/>
      </c>
    </row>
    <row r="54">
      <c r="A54" s="16" t="inlineStr">
        <is>
          <t>TXN-2050</t>
        </is>
      </c>
      <c r="B54" s="16" t="inlineStr">
        <is>
          <t>2026-05-12</t>
        </is>
      </c>
      <c r="C54" s="10" t="inlineStr">
        <is>
          <t>Customer 010</t>
        </is>
      </c>
      <c r="D54" s="10" t="inlineStr">
        <is>
          <t>Wholesale</t>
        </is>
      </c>
      <c r="E54" s="10" t="inlineStr">
        <is>
          <t>East</t>
        </is>
      </c>
      <c r="F54" s="10" t="inlineStr">
        <is>
          <t>Data Vault Ultra</t>
        </is>
      </c>
      <c r="G54" s="10">
        <f>UPPER(LEFT(F54, 3)) &amp; "-" &amp; TEXT(LEN(F54), "00")</f>
        <v/>
      </c>
      <c r="H54" s="10" t="n">
        <v>27</v>
      </c>
      <c r="I54" s="17" t="n">
        <v>434.58</v>
      </c>
      <c r="J54" s="17">
        <f>H54*I54</f>
        <v/>
      </c>
      <c r="K54" s="18" t="n">
        <v>0.2</v>
      </c>
      <c r="L54" s="17">
        <f>J54*K54</f>
        <v/>
      </c>
      <c r="M54" s="17">
        <f>J54-L54</f>
        <v/>
      </c>
      <c r="N54" s="17">
        <f>J54*0.52</f>
        <v/>
      </c>
      <c r="O54" s="17">
        <f>M54-N54</f>
        <v/>
      </c>
      <c r="P54" s="18">
        <f>O54/M54</f>
        <v/>
      </c>
      <c r="Q54" s="16" t="inlineStr">
        <is>
          <t>2026-05-12</t>
        </is>
      </c>
      <c r="R54" s="16" t="inlineStr">
        <is>
          <t>2026-05-19</t>
        </is>
      </c>
      <c r="S54" s="10">
        <f>DATEDIF(Q54, R54, "d")</f>
        <v/>
      </c>
      <c r="T54" s="19">
        <f>EOMONTH(Q54, 0)</f>
        <v/>
      </c>
      <c r="U54" s="20">
        <f>NOW()</f>
        <v/>
      </c>
      <c r="V54" s="10">
        <f>IF(ISNUMBER(MATCH(C54, $X$5:$X$18, 0)), "VIP Match", "Standard")</f>
        <v/>
      </c>
    </row>
    <row r="55">
      <c r="A55" s="16" t="inlineStr">
        <is>
          <t>TXN-2051</t>
        </is>
      </c>
      <c r="B55" s="16" t="inlineStr">
        <is>
          <t>2026-01-21</t>
        </is>
      </c>
      <c r="C55" s="10" t="inlineStr">
        <is>
          <t>Customer 037</t>
        </is>
      </c>
      <c r="D55" s="10" t="inlineStr">
        <is>
          <t>Enterprise</t>
        </is>
      </c>
      <c r="E55" s="10" t="inlineStr">
        <is>
          <t>South</t>
        </is>
      </c>
      <c r="F55" s="10" t="inlineStr">
        <is>
          <t>Data Vault Ultra</t>
        </is>
      </c>
      <c r="G55" s="10">
        <f>UPPER(LEFT(F55, 3)) &amp; "-" &amp; TEXT(LEN(F55), "00")</f>
        <v/>
      </c>
      <c r="H55" s="10" t="n">
        <v>42</v>
      </c>
      <c r="I55" s="17" t="n">
        <v>286.43</v>
      </c>
      <c r="J55" s="17">
        <f>H55*I55</f>
        <v/>
      </c>
      <c r="K55" s="18" t="n">
        <v>0</v>
      </c>
      <c r="L55" s="17">
        <f>J55*K55</f>
        <v/>
      </c>
      <c r="M55" s="17">
        <f>J55-L55</f>
        <v/>
      </c>
      <c r="N55" s="17">
        <f>J55*0.63</f>
        <v/>
      </c>
      <c r="O55" s="17">
        <f>M55-N55</f>
        <v/>
      </c>
      <c r="P55" s="18">
        <f>O55/M55</f>
        <v/>
      </c>
      <c r="Q55" s="16" t="inlineStr">
        <is>
          <t>2026-01-21</t>
        </is>
      </c>
      <c r="R55" s="16" t="inlineStr">
        <is>
          <t>2026-01-31</t>
        </is>
      </c>
      <c r="S55" s="10">
        <f>DATEDIF(Q55, R55, "d")</f>
        <v/>
      </c>
      <c r="T55" s="19">
        <f>EOMONTH(Q55, 0)</f>
        <v/>
      </c>
      <c r="U55" s="20">
        <f>NOW()</f>
        <v/>
      </c>
      <c r="V55" s="10">
        <f>IF(ISNUMBER(MATCH(C55, $X$5:$X$18, 0)), "VIP Match", "Standard")</f>
        <v/>
      </c>
    </row>
    <row r="56">
      <c r="A56" s="16" t="inlineStr">
        <is>
          <t>TXN-2052</t>
        </is>
      </c>
      <c r="B56" s="16" t="inlineStr">
        <is>
          <t>2026-02-11</t>
        </is>
      </c>
      <c r="C56" s="10" t="inlineStr">
        <is>
          <t>Customer 024</t>
        </is>
      </c>
      <c r="D56" s="10" t="inlineStr">
        <is>
          <t>Retail</t>
        </is>
      </c>
      <c r="E56" s="10" t="inlineStr">
        <is>
          <t>North</t>
        </is>
      </c>
      <c r="F56" s="10" t="inlineStr">
        <is>
          <t>Smart Metrics Dashboard</t>
        </is>
      </c>
      <c r="G56" s="10">
        <f>UPPER(LEFT(F56, 3)) &amp; "-" &amp; TEXT(LEN(F56), "00")</f>
        <v/>
      </c>
      <c r="H56" s="10" t="n">
        <v>77</v>
      </c>
      <c r="I56" s="17" t="n">
        <v>362.93</v>
      </c>
      <c r="J56" s="17">
        <f>H56*I56</f>
        <v/>
      </c>
      <c r="K56" s="18" t="n">
        <v>0</v>
      </c>
      <c r="L56" s="17">
        <f>J56*K56</f>
        <v/>
      </c>
      <c r="M56" s="17">
        <f>J56-L56</f>
        <v/>
      </c>
      <c r="N56" s="17">
        <f>J56*0.50</f>
        <v/>
      </c>
      <c r="O56" s="17">
        <f>M56-N56</f>
        <v/>
      </c>
      <c r="P56" s="18">
        <f>O56/M56</f>
        <v/>
      </c>
      <c r="Q56" s="16" t="inlineStr">
        <is>
          <t>2026-02-11</t>
        </is>
      </c>
      <c r="R56" s="16" t="inlineStr">
        <is>
          <t>2026-02-16</t>
        </is>
      </c>
      <c r="S56" s="10">
        <f>DATEDIF(Q56, R56, "d")</f>
        <v/>
      </c>
      <c r="T56" s="19">
        <f>EOMONTH(Q56, 0)</f>
        <v/>
      </c>
      <c r="U56" s="20">
        <f>NOW()</f>
        <v/>
      </c>
      <c r="V56" s="10">
        <f>IF(ISNUMBER(MATCH(C56, $X$5:$X$18, 0)), "VIP Match", "Standard")</f>
        <v/>
      </c>
    </row>
    <row r="57">
      <c r="A57" s="16" t="inlineStr">
        <is>
          <t>TXN-2053</t>
        </is>
      </c>
      <c r="B57" s="16" t="inlineStr">
        <is>
          <t>2026-05-17</t>
        </is>
      </c>
      <c r="C57" s="10" t="inlineStr">
        <is>
          <t>Customer 015</t>
        </is>
      </c>
      <c r="D57" s="10" t="inlineStr">
        <is>
          <t>Enterprise</t>
        </is>
      </c>
      <c r="E57" s="10" t="inlineStr">
        <is>
          <t>East</t>
        </is>
      </c>
      <c r="F57" s="10" t="inlineStr">
        <is>
          <t>Smart Metrics Dashboard</t>
        </is>
      </c>
      <c r="G57" s="10">
        <f>UPPER(LEFT(F57, 3)) &amp; "-" &amp; TEXT(LEN(F57), "00")</f>
        <v/>
      </c>
      <c r="H57" s="10" t="n">
        <v>75</v>
      </c>
      <c r="I57" s="17" t="n">
        <v>356.95</v>
      </c>
      <c r="J57" s="17">
        <f>H57*I57</f>
        <v/>
      </c>
      <c r="K57" s="18" t="n">
        <v>0.1</v>
      </c>
      <c r="L57" s="17">
        <f>J57*K57</f>
        <v/>
      </c>
      <c r="M57" s="17">
        <f>J57-L57</f>
        <v/>
      </c>
      <c r="N57" s="17">
        <f>J57*0.51</f>
        <v/>
      </c>
      <c r="O57" s="17">
        <f>M57-N57</f>
        <v/>
      </c>
      <c r="P57" s="18">
        <f>O57/M57</f>
        <v/>
      </c>
      <c r="Q57" s="16" t="inlineStr">
        <is>
          <t>2026-05-17</t>
        </is>
      </c>
      <c r="R57" s="16" t="inlineStr">
        <is>
          <t>2026-05-23</t>
        </is>
      </c>
      <c r="S57" s="10">
        <f>DATEDIF(Q57, R57, "d")</f>
        <v/>
      </c>
      <c r="T57" s="19">
        <f>EOMONTH(Q57, 0)</f>
        <v/>
      </c>
      <c r="U57" s="20">
        <f>NOW()</f>
        <v/>
      </c>
      <c r="V57" s="10">
        <f>IF(ISNUMBER(MATCH(C57, $X$5:$X$18, 0)), "VIP Match", "Standard")</f>
        <v/>
      </c>
    </row>
    <row r="58">
      <c r="A58" s="16" t="inlineStr">
        <is>
          <t>TXN-2054</t>
        </is>
      </c>
      <c r="B58" s="16" t="inlineStr">
        <is>
          <t>2026-06-23</t>
        </is>
      </c>
      <c r="C58" s="10" t="inlineStr">
        <is>
          <t>Customer 048</t>
        </is>
      </c>
      <c r="D58" s="10" t="inlineStr">
        <is>
          <t>Corporate</t>
        </is>
      </c>
      <c r="E58" s="10" t="inlineStr">
        <is>
          <t>North</t>
        </is>
      </c>
      <c r="F58" s="10" t="inlineStr">
        <is>
          <t>Enterprise Analytics Pro</t>
        </is>
      </c>
      <c r="G58" s="10">
        <f>UPPER(LEFT(F58, 3)) &amp; "-" &amp; TEXT(LEN(F58), "00")</f>
        <v/>
      </c>
      <c r="H58" s="10" t="n">
        <v>63</v>
      </c>
      <c r="I58" s="17" t="n">
        <v>296.88</v>
      </c>
      <c r="J58" s="17">
        <f>H58*I58</f>
        <v/>
      </c>
      <c r="K58" s="18" t="n">
        <v>0.1</v>
      </c>
      <c r="L58" s="17">
        <f>J58*K58</f>
        <v/>
      </c>
      <c r="M58" s="17">
        <f>J58-L58</f>
        <v/>
      </c>
      <c r="N58" s="17">
        <f>J58*0.61</f>
        <v/>
      </c>
      <c r="O58" s="17">
        <f>M58-N58</f>
        <v/>
      </c>
      <c r="P58" s="18">
        <f>O58/M58</f>
        <v/>
      </c>
      <c r="Q58" s="16" t="inlineStr">
        <is>
          <t>2026-06-23</t>
        </is>
      </c>
      <c r="R58" s="16" t="inlineStr">
        <is>
          <t>2026-07-06</t>
        </is>
      </c>
      <c r="S58" s="10">
        <f>DATEDIF(Q58, R58, "d")</f>
        <v/>
      </c>
      <c r="T58" s="19">
        <f>EOMONTH(Q58, 0)</f>
        <v/>
      </c>
      <c r="U58" s="20">
        <f>NOW()</f>
        <v/>
      </c>
      <c r="V58" s="10">
        <f>IF(ISNUMBER(MATCH(C58, $X$5:$X$18, 0)), "VIP Match", "Standard")</f>
        <v/>
      </c>
    </row>
    <row r="59">
      <c r="A59" s="16" t="inlineStr">
        <is>
          <t>TXN-2055</t>
        </is>
      </c>
      <c r="B59" s="16" t="inlineStr">
        <is>
          <t>2026-05-07</t>
        </is>
      </c>
      <c r="C59" s="10" t="inlineStr">
        <is>
          <t>Customer 048</t>
        </is>
      </c>
      <c r="D59" s="10" t="inlineStr">
        <is>
          <t>Wholesale</t>
        </is>
      </c>
      <c r="E59" s="10" t="inlineStr">
        <is>
          <t>East</t>
        </is>
      </c>
      <c r="F59" s="10" t="inlineStr">
        <is>
          <t>Smart Metrics Dashboard</t>
        </is>
      </c>
      <c r="G59" s="10">
        <f>UPPER(LEFT(F59, 3)) &amp; "-" &amp; TEXT(LEN(F59), "00")</f>
        <v/>
      </c>
      <c r="H59" s="10" t="n">
        <v>67</v>
      </c>
      <c r="I59" s="17" t="n">
        <v>216.18</v>
      </c>
      <c r="J59" s="17">
        <f>H59*I59</f>
        <v/>
      </c>
      <c r="K59" s="18" t="n">
        <v>0.15</v>
      </c>
      <c r="L59" s="17">
        <f>J59*K59</f>
        <v/>
      </c>
      <c r="M59" s="17">
        <f>J59-L59</f>
        <v/>
      </c>
      <c r="N59" s="17">
        <f>J59*0.50</f>
        <v/>
      </c>
      <c r="O59" s="17">
        <f>M59-N59</f>
        <v/>
      </c>
      <c r="P59" s="18">
        <f>O59/M59</f>
        <v/>
      </c>
      <c r="Q59" s="16" t="inlineStr">
        <is>
          <t>2026-05-07</t>
        </is>
      </c>
      <c r="R59" s="16" t="inlineStr">
        <is>
          <t>2026-05-10</t>
        </is>
      </c>
      <c r="S59" s="10">
        <f>DATEDIF(Q59, R59, "d")</f>
        <v/>
      </c>
      <c r="T59" s="19">
        <f>EOMONTH(Q59, 0)</f>
        <v/>
      </c>
      <c r="U59" s="20">
        <f>NOW()</f>
        <v/>
      </c>
      <c r="V59" s="10">
        <f>IF(ISNUMBER(MATCH(C59, $X$5:$X$18, 0)), "VIP Match", "Standard")</f>
        <v/>
      </c>
    </row>
    <row r="60">
      <c r="A60" s="16" t="inlineStr">
        <is>
          <t>TXN-2056</t>
        </is>
      </c>
      <c r="B60" s="16" t="inlineStr">
        <is>
          <t>2026-04-20</t>
        </is>
      </c>
      <c r="C60" s="10" t="inlineStr">
        <is>
          <t>Customer 017</t>
        </is>
      </c>
      <c r="D60" s="10" t="inlineStr">
        <is>
          <t>Wholesale</t>
        </is>
      </c>
      <c r="E60" s="10" t="inlineStr">
        <is>
          <t>North</t>
        </is>
      </c>
      <c r="F60" s="10" t="inlineStr">
        <is>
          <t>Data Vault Ultra</t>
        </is>
      </c>
      <c r="G60" s="10">
        <f>UPPER(LEFT(F60, 3)) &amp; "-" &amp; TEXT(LEN(F60), "00")</f>
        <v/>
      </c>
      <c r="H60" s="10" t="n">
        <v>108</v>
      </c>
      <c r="I60" s="17" t="n">
        <v>50.2</v>
      </c>
      <c r="J60" s="17">
        <f>H60*I60</f>
        <v/>
      </c>
      <c r="K60" s="18" t="n">
        <v>0</v>
      </c>
      <c r="L60" s="17">
        <f>J60*K60</f>
        <v/>
      </c>
      <c r="M60" s="17">
        <f>J60-L60</f>
        <v/>
      </c>
      <c r="N60" s="17">
        <f>J60*0.58</f>
        <v/>
      </c>
      <c r="O60" s="17">
        <f>M60-N60</f>
        <v/>
      </c>
      <c r="P60" s="18">
        <f>O60/M60</f>
        <v/>
      </c>
      <c r="Q60" s="16" t="inlineStr">
        <is>
          <t>2026-04-20</t>
        </is>
      </c>
      <c r="R60" s="16" t="inlineStr">
        <is>
          <t>2026-05-01</t>
        </is>
      </c>
      <c r="S60" s="10">
        <f>DATEDIF(Q60, R60, "d")</f>
        <v/>
      </c>
      <c r="T60" s="19">
        <f>EOMONTH(Q60, 0)</f>
        <v/>
      </c>
      <c r="U60" s="20">
        <f>NOW()</f>
        <v/>
      </c>
      <c r="V60" s="10">
        <f>IF(ISNUMBER(MATCH(C60, $X$5:$X$18, 0)), "VIP Match", "Standard")</f>
        <v/>
      </c>
    </row>
    <row r="61">
      <c r="A61" s="16" t="inlineStr">
        <is>
          <t>TXN-2057</t>
        </is>
      </c>
      <c r="B61" s="16" t="inlineStr">
        <is>
          <t>2026-05-11</t>
        </is>
      </c>
      <c r="C61" s="10" t="inlineStr">
        <is>
          <t>Customer 039</t>
        </is>
      </c>
      <c r="D61" s="10" t="inlineStr">
        <is>
          <t>Corporate</t>
        </is>
      </c>
      <c r="E61" s="10" t="inlineStr">
        <is>
          <t>North</t>
        </is>
      </c>
      <c r="F61" s="10" t="inlineStr">
        <is>
          <t>Smart Metrics Dashboard</t>
        </is>
      </c>
      <c r="G61" s="10">
        <f>UPPER(LEFT(F61, 3)) &amp; "-" &amp; TEXT(LEN(F61), "00")</f>
        <v/>
      </c>
      <c r="H61" s="10" t="n">
        <v>22</v>
      </c>
      <c r="I61" s="17" t="n">
        <v>478.82</v>
      </c>
      <c r="J61" s="17">
        <f>H61*I61</f>
        <v/>
      </c>
      <c r="K61" s="18" t="n">
        <v>0.1</v>
      </c>
      <c r="L61" s="17">
        <f>J61*K61</f>
        <v/>
      </c>
      <c r="M61" s="17">
        <f>J61-L61</f>
        <v/>
      </c>
      <c r="N61" s="17">
        <f>J61*0.61</f>
        <v/>
      </c>
      <c r="O61" s="17">
        <f>M61-N61</f>
        <v/>
      </c>
      <c r="P61" s="18">
        <f>O61/M61</f>
        <v/>
      </c>
      <c r="Q61" s="16" t="inlineStr">
        <is>
          <t>2026-05-11</t>
        </is>
      </c>
      <c r="R61" s="16" t="inlineStr">
        <is>
          <t>2026-05-14</t>
        </is>
      </c>
      <c r="S61" s="10">
        <f>DATEDIF(Q61, R61, "d")</f>
        <v/>
      </c>
      <c r="T61" s="19">
        <f>EOMONTH(Q61, 0)</f>
        <v/>
      </c>
      <c r="U61" s="20">
        <f>NOW()</f>
        <v/>
      </c>
      <c r="V61" s="10">
        <f>IF(ISNUMBER(MATCH(C61, $X$5:$X$18, 0)), "VIP Match", "Standard")</f>
        <v/>
      </c>
    </row>
    <row r="62">
      <c r="A62" s="16" t="inlineStr">
        <is>
          <t>TXN-2058</t>
        </is>
      </c>
      <c r="B62" s="16" t="inlineStr">
        <is>
          <t>2026-05-29</t>
        </is>
      </c>
      <c r="C62" s="10" t="inlineStr">
        <is>
          <t>Customer 032</t>
        </is>
      </c>
      <c r="D62" s="10" t="inlineStr">
        <is>
          <t>Corporate</t>
        </is>
      </c>
      <c r="E62" s="10" t="inlineStr">
        <is>
          <t>North</t>
        </is>
      </c>
      <c r="F62" s="10" t="inlineStr">
        <is>
          <t>Smart Metrics Dashboard</t>
        </is>
      </c>
      <c r="G62" s="10">
        <f>UPPER(LEFT(F62, 3)) &amp; "-" &amp; TEXT(LEN(F62), "00")</f>
        <v/>
      </c>
      <c r="H62" s="10" t="n">
        <v>67</v>
      </c>
      <c r="I62" s="17" t="n">
        <v>462</v>
      </c>
      <c r="J62" s="17">
        <f>H62*I62</f>
        <v/>
      </c>
      <c r="K62" s="18" t="n">
        <v>0.1</v>
      </c>
      <c r="L62" s="17">
        <f>J62*K62</f>
        <v/>
      </c>
      <c r="M62" s="17">
        <f>J62-L62</f>
        <v/>
      </c>
      <c r="N62" s="17">
        <f>J62*0.56</f>
        <v/>
      </c>
      <c r="O62" s="17">
        <f>M62-N62</f>
        <v/>
      </c>
      <c r="P62" s="18">
        <f>O62/M62</f>
        <v/>
      </c>
      <c r="Q62" s="16" t="inlineStr">
        <is>
          <t>2026-05-29</t>
        </is>
      </c>
      <c r="R62" s="16" t="inlineStr">
        <is>
          <t>2026-06-01</t>
        </is>
      </c>
      <c r="S62" s="10">
        <f>DATEDIF(Q62, R62, "d")</f>
        <v/>
      </c>
      <c r="T62" s="19">
        <f>EOMONTH(Q62, 0)</f>
        <v/>
      </c>
      <c r="U62" s="20">
        <f>NOW()</f>
        <v/>
      </c>
      <c r="V62" s="10">
        <f>IF(ISNUMBER(MATCH(C62, $X$5:$X$18, 0)), "VIP Match", "Standard")</f>
        <v/>
      </c>
    </row>
    <row r="63">
      <c r="A63" s="16" t="inlineStr">
        <is>
          <t>TXN-2059</t>
        </is>
      </c>
      <c r="B63" s="16" t="inlineStr">
        <is>
          <t>2026-01-19</t>
        </is>
      </c>
      <c r="C63" s="10" t="inlineStr">
        <is>
          <t>Customer 003</t>
        </is>
      </c>
      <c r="D63" s="10" t="inlineStr">
        <is>
          <t>Enterprise</t>
        </is>
      </c>
      <c r="E63" s="10" t="inlineStr">
        <is>
          <t>Central</t>
        </is>
      </c>
      <c r="F63" s="10" t="inlineStr">
        <is>
          <t>Enterprise Analytics Pro</t>
        </is>
      </c>
      <c r="G63" s="10">
        <f>UPPER(LEFT(F63, 3)) &amp; "-" &amp; TEXT(LEN(F63), "00")</f>
        <v/>
      </c>
      <c r="H63" s="10" t="n">
        <v>11</v>
      </c>
      <c r="I63" s="17" t="n">
        <v>305.78</v>
      </c>
      <c r="J63" s="17">
        <f>H63*I63</f>
        <v/>
      </c>
      <c r="K63" s="18" t="n">
        <v>0.2</v>
      </c>
      <c r="L63" s="17">
        <f>J63*K63</f>
        <v/>
      </c>
      <c r="M63" s="17">
        <f>J63-L63</f>
        <v/>
      </c>
      <c r="N63" s="17">
        <f>J63*0.45</f>
        <v/>
      </c>
      <c r="O63" s="17">
        <f>M63-N63</f>
        <v/>
      </c>
      <c r="P63" s="18">
        <f>O63/M63</f>
        <v/>
      </c>
      <c r="Q63" s="16" t="inlineStr">
        <is>
          <t>2026-01-19</t>
        </is>
      </c>
      <c r="R63" s="16" t="inlineStr">
        <is>
          <t>2026-01-31</t>
        </is>
      </c>
      <c r="S63" s="10">
        <f>DATEDIF(Q63, R63, "d")</f>
        <v/>
      </c>
      <c r="T63" s="19">
        <f>EOMONTH(Q63, 0)</f>
        <v/>
      </c>
      <c r="U63" s="20">
        <f>NOW()</f>
        <v/>
      </c>
      <c r="V63" s="10">
        <f>IF(ISNUMBER(MATCH(C63, $X$5:$X$18, 0)), "VIP Match", "Standard")</f>
        <v/>
      </c>
    </row>
    <row r="64">
      <c r="A64" s="16" t="inlineStr">
        <is>
          <t>TXN-2060</t>
        </is>
      </c>
      <c r="B64" s="16" t="inlineStr">
        <is>
          <t>2026-03-21</t>
        </is>
      </c>
      <c r="C64" s="10" t="inlineStr">
        <is>
          <t>Customer 001</t>
        </is>
      </c>
      <c r="D64" s="10" t="inlineStr">
        <is>
          <t>Enterprise</t>
        </is>
      </c>
      <c r="E64" s="10" t="inlineStr">
        <is>
          <t>South</t>
        </is>
      </c>
      <c r="F64" s="10" t="inlineStr">
        <is>
          <t>Data Vault Ultra</t>
        </is>
      </c>
      <c r="G64" s="10">
        <f>UPPER(LEFT(F64, 3)) &amp; "-" &amp; TEXT(LEN(F64), "00")</f>
        <v/>
      </c>
      <c r="H64" s="10" t="n">
        <v>91</v>
      </c>
      <c r="I64" s="17" t="n">
        <v>357.75</v>
      </c>
      <c r="J64" s="17">
        <f>H64*I64</f>
        <v/>
      </c>
      <c r="K64" s="18" t="n">
        <v>0.2</v>
      </c>
      <c r="L64" s="17">
        <f>J64*K64</f>
        <v/>
      </c>
      <c r="M64" s="17">
        <f>J64-L64</f>
        <v/>
      </c>
      <c r="N64" s="17">
        <f>J64*0.63</f>
        <v/>
      </c>
      <c r="O64" s="17">
        <f>M64-N64</f>
        <v/>
      </c>
      <c r="P64" s="18">
        <f>O64/M64</f>
        <v/>
      </c>
      <c r="Q64" s="16" t="inlineStr">
        <is>
          <t>2026-03-21</t>
        </is>
      </c>
      <c r="R64" s="16" t="inlineStr">
        <is>
          <t>2026-04-01</t>
        </is>
      </c>
      <c r="S64" s="10">
        <f>DATEDIF(Q64, R64, "d")</f>
        <v/>
      </c>
      <c r="T64" s="19">
        <f>EOMONTH(Q64, 0)</f>
        <v/>
      </c>
      <c r="U64" s="20">
        <f>NOW()</f>
        <v/>
      </c>
      <c r="V64" s="10">
        <f>IF(ISNUMBER(MATCH(C64, $X$5:$X$18, 0)), "VIP Match", "Standard")</f>
        <v/>
      </c>
    </row>
    <row r="65">
      <c r="A65" s="16" t="inlineStr">
        <is>
          <t>TXN-2061</t>
        </is>
      </c>
      <c r="B65" s="16" t="inlineStr">
        <is>
          <t>2026-01-06</t>
        </is>
      </c>
      <c r="C65" s="10" t="inlineStr">
        <is>
          <t>Customer 008</t>
        </is>
      </c>
      <c r="D65" s="10" t="inlineStr">
        <is>
          <t>Enterprise</t>
        </is>
      </c>
      <c r="E65" s="10" t="inlineStr">
        <is>
          <t>South</t>
        </is>
      </c>
      <c r="F65" s="10" t="inlineStr">
        <is>
          <t>Data Vault Ultra</t>
        </is>
      </c>
      <c r="G65" s="10">
        <f>UPPER(LEFT(F65, 3)) &amp; "-" &amp; TEXT(LEN(F65), "00")</f>
        <v/>
      </c>
      <c r="H65" s="10" t="n">
        <v>114</v>
      </c>
      <c r="I65" s="17" t="n">
        <v>452.26</v>
      </c>
      <c r="J65" s="17">
        <f>H65*I65</f>
        <v/>
      </c>
      <c r="K65" s="18" t="n">
        <v>0.1</v>
      </c>
      <c r="L65" s="17">
        <f>J65*K65</f>
        <v/>
      </c>
      <c r="M65" s="17">
        <f>J65-L65</f>
        <v/>
      </c>
      <c r="N65" s="17">
        <f>J65*0.57</f>
        <v/>
      </c>
      <c r="O65" s="17">
        <f>M65-N65</f>
        <v/>
      </c>
      <c r="P65" s="18">
        <f>O65/M65</f>
        <v/>
      </c>
      <c r="Q65" s="16" t="inlineStr">
        <is>
          <t>2026-01-06</t>
        </is>
      </c>
      <c r="R65" s="16" t="inlineStr">
        <is>
          <t>2026-01-10</t>
        </is>
      </c>
      <c r="S65" s="10">
        <f>DATEDIF(Q65, R65, "d")</f>
        <v/>
      </c>
      <c r="T65" s="19">
        <f>EOMONTH(Q65, 0)</f>
        <v/>
      </c>
      <c r="U65" s="20">
        <f>NOW()</f>
        <v/>
      </c>
      <c r="V65" s="10">
        <f>IF(ISNUMBER(MATCH(C65, $X$5:$X$18, 0)), "VIP Match", "Standard")</f>
        <v/>
      </c>
    </row>
    <row r="66">
      <c r="A66" s="16" t="inlineStr">
        <is>
          <t>TXN-2062</t>
        </is>
      </c>
      <c r="B66" s="16" t="inlineStr">
        <is>
          <t>2026-03-29</t>
        </is>
      </c>
      <c r="C66" s="10" t="inlineStr">
        <is>
          <t>Customer 029</t>
        </is>
      </c>
      <c r="D66" s="10" t="inlineStr">
        <is>
          <t>Corporate</t>
        </is>
      </c>
      <c r="E66" s="10" t="inlineStr">
        <is>
          <t>West</t>
        </is>
      </c>
      <c r="F66" s="10" t="inlineStr">
        <is>
          <t>Data Vault Ultra</t>
        </is>
      </c>
      <c r="G66" s="10">
        <f>UPPER(LEFT(F66, 3)) &amp; "-" &amp; TEXT(LEN(F66), "00")</f>
        <v/>
      </c>
      <c r="H66" s="10" t="n">
        <v>96</v>
      </c>
      <c r="I66" s="17" t="n">
        <v>240.57</v>
      </c>
      <c r="J66" s="17">
        <f>H66*I66</f>
        <v/>
      </c>
      <c r="K66" s="18" t="n">
        <v>0.2</v>
      </c>
      <c r="L66" s="17">
        <f>J66*K66</f>
        <v/>
      </c>
      <c r="M66" s="17">
        <f>J66-L66</f>
        <v/>
      </c>
      <c r="N66" s="17">
        <f>J66*0.47</f>
        <v/>
      </c>
      <c r="O66" s="17">
        <f>M66-N66</f>
        <v/>
      </c>
      <c r="P66" s="18">
        <f>O66/M66</f>
        <v/>
      </c>
      <c r="Q66" s="16" t="inlineStr">
        <is>
          <t>2026-03-29</t>
        </is>
      </c>
      <c r="R66" s="16" t="inlineStr">
        <is>
          <t>2026-04-01</t>
        </is>
      </c>
      <c r="S66" s="10">
        <f>DATEDIF(Q66, R66, "d")</f>
        <v/>
      </c>
      <c r="T66" s="19">
        <f>EOMONTH(Q66, 0)</f>
        <v/>
      </c>
      <c r="U66" s="20">
        <f>NOW()</f>
        <v/>
      </c>
      <c r="V66" s="10">
        <f>IF(ISNUMBER(MATCH(C66, $X$5:$X$18, 0)), "VIP Match", "Standard")</f>
        <v/>
      </c>
    </row>
    <row r="67">
      <c r="A67" s="16" t="inlineStr">
        <is>
          <t>TXN-2063</t>
        </is>
      </c>
      <c r="B67" s="16" t="inlineStr">
        <is>
          <t>2026-04-18</t>
        </is>
      </c>
      <c r="C67" s="10" t="inlineStr">
        <is>
          <t>Customer 037</t>
        </is>
      </c>
      <c r="D67" s="10" t="inlineStr">
        <is>
          <t>Retail</t>
        </is>
      </c>
      <c r="E67" s="10" t="inlineStr">
        <is>
          <t>South</t>
        </is>
      </c>
      <c r="F67" s="10" t="inlineStr">
        <is>
          <t>Enterprise Analytics Pro</t>
        </is>
      </c>
      <c r="G67" s="10">
        <f>UPPER(LEFT(F67, 3)) &amp; "-" &amp; TEXT(LEN(F67), "00")</f>
        <v/>
      </c>
      <c r="H67" s="10" t="n">
        <v>12</v>
      </c>
      <c r="I67" s="17" t="n">
        <v>221.27</v>
      </c>
      <c r="J67" s="17">
        <f>H67*I67</f>
        <v/>
      </c>
      <c r="K67" s="18" t="n">
        <v>0.15</v>
      </c>
      <c r="L67" s="17">
        <f>J67*K67</f>
        <v/>
      </c>
      <c r="M67" s="17">
        <f>J67-L67</f>
        <v/>
      </c>
      <c r="N67" s="17">
        <f>J67*0.57</f>
        <v/>
      </c>
      <c r="O67" s="17">
        <f>M67-N67</f>
        <v/>
      </c>
      <c r="P67" s="18">
        <f>O67/M67</f>
        <v/>
      </c>
      <c r="Q67" s="16" t="inlineStr">
        <is>
          <t>2026-04-18</t>
        </is>
      </c>
      <c r="R67" s="16" t="inlineStr">
        <is>
          <t>2026-05-01</t>
        </is>
      </c>
      <c r="S67" s="10">
        <f>DATEDIF(Q67, R67, "d")</f>
        <v/>
      </c>
      <c r="T67" s="19">
        <f>EOMONTH(Q67, 0)</f>
        <v/>
      </c>
      <c r="U67" s="20">
        <f>NOW()</f>
        <v/>
      </c>
      <c r="V67" s="10">
        <f>IF(ISNUMBER(MATCH(C67, $X$5:$X$18, 0)), "VIP Match", "Standard")</f>
        <v/>
      </c>
    </row>
    <row r="68">
      <c r="A68" s="16" t="inlineStr">
        <is>
          <t>TXN-2064</t>
        </is>
      </c>
      <c r="B68" s="16" t="inlineStr">
        <is>
          <t>2026-05-26</t>
        </is>
      </c>
      <c r="C68" s="10" t="inlineStr">
        <is>
          <t>Customer 049</t>
        </is>
      </c>
      <c r="D68" s="10" t="inlineStr">
        <is>
          <t>Wholesale</t>
        </is>
      </c>
      <c r="E68" s="10" t="inlineStr">
        <is>
          <t>North</t>
        </is>
      </c>
      <c r="F68" s="10" t="inlineStr">
        <is>
          <t>Cloud Intelligence Suite</t>
        </is>
      </c>
      <c r="G68" s="10">
        <f>UPPER(LEFT(F68, 3)) &amp; "-" &amp; TEXT(LEN(F68), "00")</f>
        <v/>
      </c>
      <c r="H68" s="10" t="n">
        <v>7</v>
      </c>
      <c r="I68" s="17" t="n">
        <v>479.41</v>
      </c>
      <c r="J68" s="17">
        <f>H68*I68</f>
        <v/>
      </c>
      <c r="K68" s="18" t="n">
        <v>0.05</v>
      </c>
      <c r="L68" s="17">
        <f>J68*K68</f>
        <v/>
      </c>
      <c r="M68" s="17">
        <f>J68-L68</f>
        <v/>
      </c>
      <c r="N68" s="17">
        <f>J68*0.56</f>
        <v/>
      </c>
      <c r="O68" s="17">
        <f>M68-N68</f>
        <v/>
      </c>
      <c r="P68" s="18">
        <f>O68/M68</f>
        <v/>
      </c>
      <c r="Q68" s="16" t="inlineStr">
        <is>
          <t>2026-05-26</t>
        </is>
      </c>
      <c r="R68" s="16" t="inlineStr">
        <is>
          <t>2026-05-27</t>
        </is>
      </c>
      <c r="S68" s="10">
        <f>DATEDIF(Q68, R68, "d")</f>
        <v/>
      </c>
      <c r="T68" s="19">
        <f>EOMONTH(Q68, 0)</f>
        <v/>
      </c>
      <c r="U68" s="20">
        <f>NOW()</f>
        <v/>
      </c>
      <c r="V68" s="10">
        <f>IF(ISNUMBER(MATCH(C68, $X$5:$X$18, 0)), "VIP Match", "Standard")</f>
        <v/>
      </c>
    </row>
    <row r="69">
      <c r="A69" s="16" t="inlineStr">
        <is>
          <t>TXN-2065</t>
        </is>
      </c>
      <c r="B69" s="16" t="inlineStr">
        <is>
          <t>2026-01-20</t>
        </is>
      </c>
      <c r="C69" s="10" t="inlineStr">
        <is>
          <t>Customer 022</t>
        </is>
      </c>
      <c r="D69" s="10" t="inlineStr">
        <is>
          <t>Wholesale</t>
        </is>
      </c>
      <c r="E69" s="10" t="inlineStr">
        <is>
          <t>South</t>
        </is>
      </c>
      <c r="F69" s="10" t="inlineStr">
        <is>
          <t>Smart Metrics Dashboard</t>
        </is>
      </c>
      <c r="G69" s="10">
        <f>UPPER(LEFT(F69, 3)) &amp; "-" &amp; TEXT(LEN(F69), "00")</f>
        <v/>
      </c>
      <c r="H69" s="10" t="n">
        <v>41</v>
      </c>
      <c r="I69" s="17" t="n">
        <v>207.69</v>
      </c>
      <c r="J69" s="17">
        <f>H69*I69</f>
        <v/>
      </c>
      <c r="K69" s="18" t="n">
        <v>0</v>
      </c>
      <c r="L69" s="17">
        <f>J69*K69</f>
        <v/>
      </c>
      <c r="M69" s="17">
        <f>J69-L69</f>
        <v/>
      </c>
      <c r="N69" s="17">
        <f>J69*0.56</f>
        <v/>
      </c>
      <c r="O69" s="17">
        <f>M69-N69</f>
        <v/>
      </c>
      <c r="P69" s="18">
        <f>O69/M69</f>
        <v/>
      </c>
      <c r="Q69" s="16" t="inlineStr">
        <is>
          <t>2026-01-20</t>
        </is>
      </c>
      <c r="R69" s="16" t="inlineStr">
        <is>
          <t>2026-01-22</t>
        </is>
      </c>
      <c r="S69" s="10">
        <f>DATEDIF(Q69, R69, "d")</f>
        <v/>
      </c>
      <c r="T69" s="19">
        <f>EOMONTH(Q69, 0)</f>
        <v/>
      </c>
      <c r="U69" s="20">
        <f>NOW()</f>
        <v/>
      </c>
      <c r="V69" s="10">
        <f>IF(ISNUMBER(MATCH(C69, $X$5:$X$18, 0)), "VIP Match", "Standard")</f>
        <v/>
      </c>
    </row>
    <row r="70">
      <c r="A70" s="16" t="inlineStr">
        <is>
          <t>TXN-2066</t>
        </is>
      </c>
      <c r="B70" s="16" t="inlineStr">
        <is>
          <t>2026-03-25</t>
        </is>
      </c>
      <c r="C70" s="10" t="inlineStr">
        <is>
          <t>Customer 013</t>
        </is>
      </c>
      <c r="D70" s="10" t="inlineStr">
        <is>
          <t>Retail</t>
        </is>
      </c>
      <c r="E70" s="10" t="inlineStr">
        <is>
          <t>South</t>
        </is>
      </c>
      <c r="F70" s="10" t="inlineStr">
        <is>
          <t>Smart Metrics Dashboard</t>
        </is>
      </c>
      <c r="G70" s="10">
        <f>UPPER(LEFT(F70, 3)) &amp; "-" &amp; TEXT(LEN(F70), "00")</f>
        <v/>
      </c>
      <c r="H70" s="10" t="n">
        <v>59</v>
      </c>
      <c r="I70" s="17" t="n">
        <v>109.25</v>
      </c>
      <c r="J70" s="17">
        <f>H70*I70</f>
        <v/>
      </c>
      <c r="K70" s="18" t="n">
        <v>0.15</v>
      </c>
      <c r="L70" s="17">
        <f>J70*K70</f>
        <v/>
      </c>
      <c r="M70" s="17">
        <f>J70-L70</f>
        <v/>
      </c>
      <c r="N70" s="17">
        <f>J70*0.58</f>
        <v/>
      </c>
      <c r="O70" s="17">
        <f>M70-N70</f>
        <v/>
      </c>
      <c r="P70" s="18">
        <f>O70/M70</f>
        <v/>
      </c>
      <c r="Q70" s="16" t="inlineStr">
        <is>
          <t>2026-03-25</t>
        </is>
      </c>
      <c r="R70" s="16" t="inlineStr">
        <is>
          <t>2026-04-02</t>
        </is>
      </c>
      <c r="S70" s="10">
        <f>DATEDIF(Q70, R70, "d")</f>
        <v/>
      </c>
      <c r="T70" s="19">
        <f>EOMONTH(Q70, 0)</f>
        <v/>
      </c>
      <c r="U70" s="20">
        <f>NOW()</f>
        <v/>
      </c>
      <c r="V70" s="10">
        <f>IF(ISNUMBER(MATCH(C70, $X$5:$X$18, 0)), "VIP Match", "Standard")</f>
        <v/>
      </c>
    </row>
    <row r="71">
      <c r="A71" s="16" t="inlineStr">
        <is>
          <t>TXN-2067</t>
        </is>
      </c>
      <c r="B71" s="16" t="inlineStr">
        <is>
          <t>2026-01-12</t>
        </is>
      </c>
      <c r="C71" s="10" t="inlineStr">
        <is>
          <t>Customer 042</t>
        </is>
      </c>
      <c r="D71" s="10" t="inlineStr">
        <is>
          <t>Enterprise</t>
        </is>
      </c>
      <c r="E71" s="10" t="inlineStr">
        <is>
          <t>West</t>
        </is>
      </c>
      <c r="F71" s="10" t="inlineStr">
        <is>
          <t>Smart Metrics Dashboard</t>
        </is>
      </c>
      <c r="G71" s="10">
        <f>UPPER(LEFT(F71, 3)) &amp; "-" &amp; TEXT(LEN(F71), "00")</f>
        <v/>
      </c>
      <c r="H71" s="10" t="n">
        <v>39</v>
      </c>
      <c r="I71" s="17" t="n">
        <v>303.09</v>
      </c>
      <c r="J71" s="17">
        <f>H71*I71</f>
        <v/>
      </c>
      <c r="K71" s="18" t="n">
        <v>0.1</v>
      </c>
      <c r="L71" s="17">
        <f>J71*K71</f>
        <v/>
      </c>
      <c r="M71" s="17">
        <f>J71-L71</f>
        <v/>
      </c>
      <c r="N71" s="17">
        <f>J71*0.58</f>
        <v/>
      </c>
      <c r="O71" s="17">
        <f>M71-N71</f>
        <v/>
      </c>
      <c r="P71" s="18">
        <f>O71/M71</f>
        <v/>
      </c>
      <c r="Q71" s="16" t="inlineStr">
        <is>
          <t>2026-01-12</t>
        </is>
      </c>
      <c r="R71" s="16" t="inlineStr">
        <is>
          <t>2026-01-16</t>
        </is>
      </c>
      <c r="S71" s="10">
        <f>DATEDIF(Q71, R71, "d")</f>
        <v/>
      </c>
      <c r="T71" s="19">
        <f>EOMONTH(Q71, 0)</f>
        <v/>
      </c>
      <c r="U71" s="20">
        <f>NOW()</f>
        <v/>
      </c>
      <c r="V71" s="10">
        <f>IF(ISNUMBER(MATCH(C71, $X$5:$X$18, 0)), "VIP Match", "Standard")</f>
        <v/>
      </c>
    </row>
    <row r="72">
      <c r="A72" s="16" t="inlineStr">
        <is>
          <t>TXN-2068</t>
        </is>
      </c>
      <c r="B72" s="16" t="inlineStr">
        <is>
          <t>2026-03-28</t>
        </is>
      </c>
      <c r="C72" s="10" t="inlineStr">
        <is>
          <t>Customer 026</t>
        </is>
      </c>
      <c r="D72" s="10" t="inlineStr">
        <is>
          <t>Retail</t>
        </is>
      </c>
      <c r="E72" s="10" t="inlineStr">
        <is>
          <t>North</t>
        </is>
      </c>
      <c r="F72" s="10" t="inlineStr">
        <is>
          <t>Data Vault Ultra</t>
        </is>
      </c>
      <c r="G72" s="10">
        <f>UPPER(LEFT(F72, 3)) &amp; "-" &amp; TEXT(LEN(F72), "00")</f>
        <v/>
      </c>
      <c r="H72" s="10" t="n">
        <v>106</v>
      </c>
      <c r="I72" s="17" t="n">
        <v>330.43</v>
      </c>
      <c r="J72" s="17">
        <f>H72*I72</f>
        <v/>
      </c>
      <c r="K72" s="18" t="n">
        <v>0.2</v>
      </c>
      <c r="L72" s="17">
        <f>J72*K72</f>
        <v/>
      </c>
      <c r="M72" s="17">
        <f>J72-L72</f>
        <v/>
      </c>
      <c r="N72" s="17">
        <f>J72*0.53</f>
        <v/>
      </c>
      <c r="O72" s="17">
        <f>M72-N72</f>
        <v/>
      </c>
      <c r="P72" s="18">
        <f>O72/M72</f>
        <v/>
      </c>
      <c r="Q72" s="16" t="inlineStr">
        <is>
          <t>2026-03-28</t>
        </is>
      </c>
      <c r="R72" s="16" t="inlineStr">
        <is>
          <t>2026-04-08</t>
        </is>
      </c>
      <c r="S72" s="10">
        <f>DATEDIF(Q72, R72, "d")</f>
        <v/>
      </c>
      <c r="T72" s="19">
        <f>EOMONTH(Q72, 0)</f>
        <v/>
      </c>
      <c r="U72" s="20">
        <f>NOW()</f>
        <v/>
      </c>
      <c r="V72" s="10">
        <f>IF(ISNUMBER(MATCH(C72, $X$5:$X$18, 0)), "VIP Match", "Standard")</f>
        <v/>
      </c>
    </row>
    <row r="73">
      <c r="A73" s="16" t="inlineStr">
        <is>
          <t>TXN-2069</t>
        </is>
      </c>
      <c r="B73" s="16" t="inlineStr">
        <is>
          <t>2026-03-14</t>
        </is>
      </c>
      <c r="C73" s="10" t="inlineStr">
        <is>
          <t>Customer 018</t>
        </is>
      </c>
      <c r="D73" s="10" t="inlineStr">
        <is>
          <t>Wholesale</t>
        </is>
      </c>
      <c r="E73" s="10" t="inlineStr">
        <is>
          <t>Central</t>
        </is>
      </c>
      <c r="F73" s="10" t="inlineStr">
        <is>
          <t>Cloud Intelligence Suite</t>
        </is>
      </c>
      <c r="G73" s="10">
        <f>UPPER(LEFT(F73, 3)) &amp; "-" &amp; TEXT(LEN(F73), "00")</f>
        <v/>
      </c>
      <c r="H73" s="10" t="n">
        <v>34</v>
      </c>
      <c r="I73" s="17" t="n">
        <v>256.1</v>
      </c>
      <c r="J73" s="17">
        <f>H73*I73</f>
        <v/>
      </c>
      <c r="K73" s="18" t="n">
        <v>0.1</v>
      </c>
      <c r="L73" s="17">
        <f>J73*K73</f>
        <v/>
      </c>
      <c r="M73" s="17">
        <f>J73-L73</f>
        <v/>
      </c>
      <c r="N73" s="17">
        <f>J73*0.61</f>
        <v/>
      </c>
      <c r="O73" s="17">
        <f>M73-N73</f>
        <v/>
      </c>
      <c r="P73" s="18">
        <f>O73/M73</f>
        <v/>
      </c>
      <c r="Q73" s="16" t="inlineStr">
        <is>
          <t>2026-03-14</t>
        </is>
      </c>
      <c r="R73" s="16" t="inlineStr">
        <is>
          <t>2026-03-25</t>
        </is>
      </c>
      <c r="S73" s="10">
        <f>DATEDIF(Q73, R73, "d")</f>
        <v/>
      </c>
      <c r="T73" s="19">
        <f>EOMONTH(Q73, 0)</f>
        <v/>
      </c>
      <c r="U73" s="20">
        <f>NOW()</f>
        <v/>
      </c>
      <c r="V73" s="10">
        <f>IF(ISNUMBER(MATCH(C73, $X$5:$X$18, 0)), "VIP Match", "Standard")</f>
        <v/>
      </c>
    </row>
    <row r="74">
      <c r="A74" s="16" t="inlineStr">
        <is>
          <t>TXN-2070</t>
        </is>
      </c>
      <c r="B74" s="16" t="inlineStr">
        <is>
          <t>2026-03-30</t>
        </is>
      </c>
      <c r="C74" s="10" t="inlineStr">
        <is>
          <t>Customer 017</t>
        </is>
      </c>
      <c r="D74" s="10" t="inlineStr">
        <is>
          <t>Retail</t>
        </is>
      </c>
      <c r="E74" s="10" t="inlineStr">
        <is>
          <t>South</t>
        </is>
      </c>
      <c r="F74" s="10" t="inlineStr">
        <is>
          <t>Smart Metrics Dashboard</t>
        </is>
      </c>
      <c r="G74" s="10">
        <f>UPPER(LEFT(F74, 3)) &amp; "-" &amp; TEXT(LEN(F74), "00")</f>
        <v/>
      </c>
      <c r="H74" s="10" t="n">
        <v>7</v>
      </c>
      <c r="I74" s="17" t="n">
        <v>318.02</v>
      </c>
      <c r="J74" s="17">
        <f>H74*I74</f>
        <v/>
      </c>
      <c r="K74" s="18" t="n">
        <v>0.05</v>
      </c>
      <c r="L74" s="17">
        <f>J74*K74</f>
        <v/>
      </c>
      <c r="M74" s="17">
        <f>J74-L74</f>
        <v/>
      </c>
      <c r="N74" s="17">
        <f>J74*0.52</f>
        <v/>
      </c>
      <c r="O74" s="17">
        <f>M74-N74</f>
        <v/>
      </c>
      <c r="P74" s="18">
        <f>O74/M74</f>
        <v/>
      </c>
      <c r="Q74" s="16" t="inlineStr">
        <is>
          <t>2026-03-30</t>
        </is>
      </c>
      <c r="R74" s="16" t="inlineStr">
        <is>
          <t>2026-04-05</t>
        </is>
      </c>
      <c r="S74" s="10">
        <f>DATEDIF(Q74, R74, "d")</f>
        <v/>
      </c>
      <c r="T74" s="19">
        <f>EOMONTH(Q74, 0)</f>
        <v/>
      </c>
      <c r="U74" s="20">
        <f>NOW()</f>
        <v/>
      </c>
      <c r="V74" s="10">
        <f>IF(ISNUMBER(MATCH(C74, $X$5:$X$18, 0)), "VIP Match", "Standard")</f>
        <v/>
      </c>
    </row>
    <row r="75">
      <c r="A75" s="16" t="inlineStr">
        <is>
          <t>TXN-2071</t>
        </is>
      </c>
      <c r="B75" s="16" t="inlineStr">
        <is>
          <t>2026-04-16</t>
        </is>
      </c>
      <c r="C75" s="10" t="inlineStr">
        <is>
          <t>Customer 039</t>
        </is>
      </c>
      <c r="D75" s="10" t="inlineStr">
        <is>
          <t>Retail</t>
        </is>
      </c>
      <c r="E75" s="10" t="inlineStr">
        <is>
          <t>East</t>
        </is>
      </c>
      <c r="F75" s="10" t="inlineStr">
        <is>
          <t>Enterprise Analytics Pro</t>
        </is>
      </c>
      <c r="G75" s="10">
        <f>UPPER(LEFT(F75, 3)) &amp; "-" &amp; TEXT(LEN(F75), "00")</f>
        <v/>
      </c>
      <c r="H75" s="10" t="n">
        <v>24</v>
      </c>
      <c r="I75" s="17" t="n">
        <v>271.82</v>
      </c>
      <c r="J75" s="17">
        <f>H75*I75</f>
        <v/>
      </c>
      <c r="K75" s="18" t="n">
        <v>0.15</v>
      </c>
      <c r="L75" s="17">
        <f>J75*K75</f>
        <v/>
      </c>
      <c r="M75" s="17">
        <f>J75-L75</f>
        <v/>
      </c>
      <c r="N75" s="17">
        <f>J75*0.56</f>
        <v/>
      </c>
      <c r="O75" s="17">
        <f>M75-N75</f>
        <v/>
      </c>
      <c r="P75" s="18">
        <f>O75/M75</f>
        <v/>
      </c>
      <c r="Q75" s="16" t="inlineStr">
        <is>
          <t>2026-04-16</t>
        </is>
      </c>
      <c r="R75" s="16" t="inlineStr">
        <is>
          <t>2026-04-18</t>
        </is>
      </c>
      <c r="S75" s="10">
        <f>DATEDIF(Q75, R75, "d")</f>
        <v/>
      </c>
      <c r="T75" s="19">
        <f>EOMONTH(Q75, 0)</f>
        <v/>
      </c>
      <c r="U75" s="20">
        <f>NOW()</f>
        <v/>
      </c>
      <c r="V75" s="10">
        <f>IF(ISNUMBER(MATCH(C75, $X$5:$X$18, 0)), "VIP Match", "Standard")</f>
        <v/>
      </c>
    </row>
    <row r="76">
      <c r="A76" s="16" t="inlineStr">
        <is>
          <t>TXN-2072</t>
        </is>
      </c>
      <c r="B76" s="16" t="inlineStr">
        <is>
          <t>2026-05-11</t>
        </is>
      </c>
      <c r="C76" s="10" t="inlineStr">
        <is>
          <t>Customer 008</t>
        </is>
      </c>
      <c r="D76" s="10" t="inlineStr">
        <is>
          <t>Enterprise</t>
        </is>
      </c>
      <c r="E76" s="10" t="inlineStr">
        <is>
          <t>East</t>
        </is>
      </c>
      <c r="F76" s="10" t="inlineStr">
        <is>
          <t>Enterprise Analytics Pro</t>
        </is>
      </c>
      <c r="G76" s="10">
        <f>UPPER(LEFT(F76, 3)) &amp; "-" &amp; TEXT(LEN(F76), "00")</f>
        <v/>
      </c>
      <c r="H76" s="10" t="n">
        <v>69</v>
      </c>
      <c r="I76" s="17" t="n">
        <v>66.59999999999999</v>
      </c>
      <c r="J76" s="17">
        <f>H76*I76</f>
        <v/>
      </c>
      <c r="K76" s="18" t="n">
        <v>0</v>
      </c>
      <c r="L76" s="17">
        <f>J76*K76</f>
        <v/>
      </c>
      <c r="M76" s="17">
        <f>J76-L76</f>
        <v/>
      </c>
      <c r="N76" s="17">
        <f>J76*0.46</f>
        <v/>
      </c>
      <c r="O76" s="17">
        <f>M76-N76</f>
        <v/>
      </c>
      <c r="P76" s="18">
        <f>O76/M76</f>
        <v/>
      </c>
      <c r="Q76" s="16" t="inlineStr">
        <is>
          <t>2026-05-11</t>
        </is>
      </c>
      <c r="R76" s="16" t="inlineStr">
        <is>
          <t>2026-05-18</t>
        </is>
      </c>
      <c r="S76" s="10">
        <f>DATEDIF(Q76, R76, "d")</f>
        <v/>
      </c>
      <c r="T76" s="19">
        <f>EOMONTH(Q76, 0)</f>
        <v/>
      </c>
      <c r="U76" s="20">
        <f>NOW()</f>
        <v/>
      </c>
      <c r="V76" s="10">
        <f>IF(ISNUMBER(MATCH(C76, $X$5:$X$18, 0)), "VIP Match", "Standard")</f>
        <v/>
      </c>
    </row>
    <row r="77">
      <c r="A77" s="16" t="inlineStr">
        <is>
          <t>TXN-2073</t>
        </is>
      </c>
      <c r="B77" s="16" t="inlineStr">
        <is>
          <t>2026-01-22</t>
        </is>
      </c>
      <c r="C77" s="10" t="inlineStr">
        <is>
          <t>Customer 020</t>
        </is>
      </c>
      <c r="D77" s="10" t="inlineStr">
        <is>
          <t>Enterprise</t>
        </is>
      </c>
      <c r="E77" s="10" t="inlineStr">
        <is>
          <t>North</t>
        </is>
      </c>
      <c r="F77" s="10" t="inlineStr">
        <is>
          <t>Smart Metrics Dashboard</t>
        </is>
      </c>
      <c r="G77" s="10">
        <f>UPPER(LEFT(F77, 3)) &amp; "-" &amp; TEXT(LEN(F77), "00")</f>
        <v/>
      </c>
      <c r="H77" s="10" t="n">
        <v>20</v>
      </c>
      <c r="I77" s="17" t="n">
        <v>483.84</v>
      </c>
      <c r="J77" s="17">
        <f>H77*I77</f>
        <v/>
      </c>
      <c r="K77" s="18" t="n">
        <v>0.2</v>
      </c>
      <c r="L77" s="17">
        <f>J77*K77</f>
        <v/>
      </c>
      <c r="M77" s="17">
        <f>J77-L77</f>
        <v/>
      </c>
      <c r="N77" s="17">
        <f>J77*0.50</f>
        <v/>
      </c>
      <c r="O77" s="17">
        <f>M77-N77</f>
        <v/>
      </c>
      <c r="P77" s="18">
        <f>O77/M77</f>
        <v/>
      </c>
      <c r="Q77" s="16" t="inlineStr">
        <is>
          <t>2026-01-22</t>
        </is>
      </c>
      <c r="R77" s="16" t="inlineStr">
        <is>
          <t>2026-02-03</t>
        </is>
      </c>
      <c r="S77" s="10">
        <f>DATEDIF(Q77, R77, "d")</f>
        <v/>
      </c>
      <c r="T77" s="19">
        <f>EOMONTH(Q77, 0)</f>
        <v/>
      </c>
      <c r="U77" s="20">
        <f>NOW()</f>
        <v/>
      </c>
      <c r="V77" s="10">
        <f>IF(ISNUMBER(MATCH(C77, $X$5:$X$18, 0)), "VIP Match", "Standard")</f>
        <v/>
      </c>
    </row>
    <row r="78">
      <c r="A78" s="16" t="inlineStr">
        <is>
          <t>TXN-2074</t>
        </is>
      </c>
      <c r="B78" s="16" t="inlineStr">
        <is>
          <t>2026-04-15</t>
        </is>
      </c>
      <c r="C78" s="10" t="inlineStr">
        <is>
          <t>Customer 029</t>
        </is>
      </c>
      <c r="D78" s="10" t="inlineStr">
        <is>
          <t>Retail</t>
        </is>
      </c>
      <c r="E78" s="10" t="inlineStr">
        <is>
          <t>North</t>
        </is>
      </c>
      <c r="F78" s="10" t="inlineStr">
        <is>
          <t>AI Insights Engine</t>
        </is>
      </c>
      <c r="G78" s="10">
        <f>UPPER(LEFT(F78, 3)) &amp; "-" &amp; TEXT(LEN(F78), "00")</f>
        <v/>
      </c>
      <c r="H78" s="10" t="n">
        <v>84</v>
      </c>
      <c r="I78" s="17" t="n">
        <v>441.32</v>
      </c>
      <c r="J78" s="17">
        <f>H78*I78</f>
        <v/>
      </c>
      <c r="K78" s="18" t="n">
        <v>0.05</v>
      </c>
      <c r="L78" s="17">
        <f>J78*K78</f>
        <v/>
      </c>
      <c r="M78" s="17">
        <f>J78-L78</f>
        <v/>
      </c>
      <c r="N78" s="17">
        <f>J78*0.45</f>
        <v/>
      </c>
      <c r="O78" s="17">
        <f>M78-N78</f>
        <v/>
      </c>
      <c r="P78" s="18">
        <f>O78/M78</f>
        <v/>
      </c>
      <c r="Q78" s="16" t="inlineStr">
        <is>
          <t>2026-04-15</t>
        </is>
      </c>
      <c r="R78" s="16" t="inlineStr">
        <is>
          <t>2026-04-28</t>
        </is>
      </c>
      <c r="S78" s="10">
        <f>DATEDIF(Q78, R78, "d")</f>
        <v/>
      </c>
      <c r="T78" s="19">
        <f>EOMONTH(Q78, 0)</f>
        <v/>
      </c>
      <c r="U78" s="20">
        <f>NOW()</f>
        <v/>
      </c>
      <c r="V78" s="10">
        <f>IF(ISNUMBER(MATCH(C78, $X$5:$X$18, 0)), "VIP Match", "Standard")</f>
        <v/>
      </c>
    </row>
    <row r="79">
      <c r="A79" s="16" t="inlineStr">
        <is>
          <t>TXN-2075</t>
        </is>
      </c>
      <c r="B79" s="16" t="inlineStr">
        <is>
          <t>2026-06-29</t>
        </is>
      </c>
      <c r="C79" s="10" t="inlineStr">
        <is>
          <t>Customer 044</t>
        </is>
      </c>
      <c r="D79" s="10" t="inlineStr">
        <is>
          <t>Enterprise</t>
        </is>
      </c>
      <c r="E79" s="10" t="inlineStr">
        <is>
          <t>West</t>
        </is>
      </c>
      <c r="F79" s="10" t="inlineStr">
        <is>
          <t>AI Insights Engine</t>
        </is>
      </c>
      <c r="G79" s="10">
        <f>UPPER(LEFT(F79, 3)) &amp; "-" &amp; TEXT(LEN(F79), "00")</f>
        <v/>
      </c>
      <c r="H79" s="10" t="n">
        <v>44</v>
      </c>
      <c r="I79" s="17" t="n">
        <v>77.66</v>
      </c>
      <c r="J79" s="17">
        <f>H79*I79</f>
        <v/>
      </c>
      <c r="K79" s="18" t="n">
        <v>0</v>
      </c>
      <c r="L79" s="17">
        <f>J79*K79</f>
        <v/>
      </c>
      <c r="M79" s="17">
        <f>J79-L79</f>
        <v/>
      </c>
      <c r="N79" s="17">
        <f>J79*0.56</f>
        <v/>
      </c>
      <c r="O79" s="17">
        <f>M79-N79</f>
        <v/>
      </c>
      <c r="P79" s="18">
        <f>O79/M79</f>
        <v/>
      </c>
      <c r="Q79" s="16" t="inlineStr">
        <is>
          <t>2026-06-29</t>
        </is>
      </c>
      <c r="R79" s="16" t="inlineStr">
        <is>
          <t>2026-06-30</t>
        </is>
      </c>
      <c r="S79" s="10">
        <f>DATEDIF(Q79, R79, "d")</f>
        <v/>
      </c>
      <c r="T79" s="19">
        <f>EOMONTH(Q79, 0)</f>
        <v/>
      </c>
      <c r="U79" s="20">
        <f>NOW()</f>
        <v/>
      </c>
      <c r="V79" s="10">
        <f>IF(ISNUMBER(MATCH(C79, $X$5:$X$18, 0)), "VIP Match", "Standard")</f>
        <v/>
      </c>
    </row>
    <row r="80">
      <c r="A80" s="16" t="inlineStr">
        <is>
          <t>TXN-2076</t>
        </is>
      </c>
      <c r="B80" s="16" t="inlineStr">
        <is>
          <t>2026-02-13</t>
        </is>
      </c>
      <c r="C80" s="10" t="inlineStr">
        <is>
          <t>Customer 047</t>
        </is>
      </c>
      <c r="D80" s="10" t="inlineStr">
        <is>
          <t>Retail</t>
        </is>
      </c>
      <c r="E80" s="10" t="inlineStr">
        <is>
          <t>South</t>
        </is>
      </c>
      <c r="F80" s="10" t="inlineStr">
        <is>
          <t>AI Insights Engine</t>
        </is>
      </c>
      <c r="G80" s="10">
        <f>UPPER(LEFT(F80, 3)) &amp; "-" &amp; TEXT(LEN(F80), "00")</f>
        <v/>
      </c>
      <c r="H80" s="10" t="n">
        <v>84</v>
      </c>
      <c r="I80" s="17" t="n">
        <v>444.05</v>
      </c>
      <c r="J80" s="17">
        <f>H80*I80</f>
        <v/>
      </c>
      <c r="K80" s="18" t="n">
        <v>0.05</v>
      </c>
      <c r="L80" s="17">
        <f>J80*K80</f>
        <v/>
      </c>
      <c r="M80" s="17">
        <f>J80-L80</f>
        <v/>
      </c>
      <c r="N80" s="17">
        <f>J80*0.59</f>
        <v/>
      </c>
      <c r="O80" s="17">
        <f>M80-N80</f>
        <v/>
      </c>
      <c r="P80" s="18">
        <f>O80/M80</f>
        <v/>
      </c>
      <c r="Q80" s="16" t="inlineStr">
        <is>
          <t>2026-02-13</t>
        </is>
      </c>
      <c r="R80" s="16" t="inlineStr">
        <is>
          <t>2026-02-18</t>
        </is>
      </c>
      <c r="S80" s="10">
        <f>DATEDIF(Q80, R80, "d")</f>
        <v/>
      </c>
      <c r="T80" s="19">
        <f>EOMONTH(Q80, 0)</f>
        <v/>
      </c>
      <c r="U80" s="20">
        <f>NOW()</f>
        <v/>
      </c>
      <c r="V80" s="10">
        <f>IF(ISNUMBER(MATCH(C80, $X$5:$X$18, 0)), "VIP Match", "Standard")</f>
        <v/>
      </c>
    </row>
    <row r="81">
      <c r="A81" s="16" t="inlineStr">
        <is>
          <t>TXN-2077</t>
        </is>
      </c>
      <c r="B81" s="16" t="inlineStr">
        <is>
          <t>2026-01-24</t>
        </is>
      </c>
      <c r="C81" s="10" t="inlineStr">
        <is>
          <t>Customer 045</t>
        </is>
      </c>
      <c r="D81" s="10" t="inlineStr">
        <is>
          <t>Wholesale</t>
        </is>
      </c>
      <c r="E81" s="10" t="inlineStr">
        <is>
          <t>South</t>
        </is>
      </c>
      <c r="F81" s="10" t="inlineStr">
        <is>
          <t>Cloud Intelligence Suite</t>
        </is>
      </c>
      <c r="G81" s="10">
        <f>UPPER(LEFT(F81, 3)) &amp; "-" &amp; TEXT(LEN(F81), "00")</f>
        <v/>
      </c>
      <c r="H81" s="10" t="n">
        <v>19</v>
      </c>
      <c r="I81" s="17" t="n">
        <v>220.05</v>
      </c>
      <c r="J81" s="17">
        <f>H81*I81</f>
        <v/>
      </c>
      <c r="K81" s="18" t="n">
        <v>0.15</v>
      </c>
      <c r="L81" s="17">
        <f>J81*K81</f>
        <v/>
      </c>
      <c r="M81" s="17">
        <f>J81-L81</f>
        <v/>
      </c>
      <c r="N81" s="17">
        <f>J81*0.49</f>
        <v/>
      </c>
      <c r="O81" s="17">
        <f>M81-N81</f>
        <v/>
      </c>
      <c r="P81" s="18">
        <f>O81/M81</f>
        <v/>
      </c>
      <c r="Q81" s="16" t="inlineStr">
        <is>
          <t>2026-01-24</t>
        </is>
      </c>
      <c r="R81" s="16" t="inlineStr">
        <is>
          <t>2026-01-25</t>
        </is>
      </c>
      <c r="S81" s="10">
        <f>DATEDIF(Q81, R81, "d")</f>
        <v/>
      </c>
      <c r="T81" s="19">
        <f>EOMONTH(Q81, 0)</f>
        <v/>
      </c>
      <c r="U81" s="20">
        <f>NOW()</f>
        <v/>
      </c>
      <c r="V81" s="10">
        <f>IF(ISNUMBER(MATCH(C81, $X$5:$X$18, 0)), "VIP Match", "Standard")</f>
        <v/>
      </c>
    </row>
    <row r="82">
      <c r="A82" s="16" t="inlineStr">
        <is>
          <t>TXN-2078</t>
        </is>
      </c>
      <c r="B82" s="16" t="inlineStr">
        <is>
          <t>2026-04-08</t>
        </is>
      </c>
      <c r="C82" s="10" t="inlineStr">
        <is>
          <t>Customer 043</t>
        </is>
      </c>
      <c r="D82" s="10" t="inlineStr">
        <is>
          <t>Retail</t>
        </is>
      </c>
      <c r="E82" s="10" t="inlineStr">
        <is>
          <t>North</t>
        </is>
      </c>
      <c r="F82" s="10" t="inlineStr">
        <is>
          <t>Enterprise Analytics Pro</t>
        </is>
      </c>
      <c r="G82" s="10">
        <f>UPPER(LEFT(F82, 3)) &amp; "-" &amp; TEXT(LEN(F82), "00")</f>
        <v/>
      </c>
      <c r="H82" s="10" t="n">
        <v>94</v>
      </c>
      <c r="I82" s="17" t="n">
        <v>391.84</v>
      </c>
      <c r="J82" s="17">
        <f>H82*I82</f>
        <v/>
      </c>
      <c r="K82" s="18" t="n">
        <v>0.1</v>
      </c>
      <c r="L82" s="17">
        <f>J82*K82</f>
        <v/>
      </c>
      <c r="M82" s="17">
        <f>J82-L82</f>
        <v/>
      </c>
      <c r="N82" s="17">
        <f>J82*0.48</f>
        <v/>
      </c>
      <c r="O82" s="17">
        <f>M82-N82</f>
        <v/>
      </c>
      <c r="P82" s="18">
        <f>O82/M82</f>
        <v/>
      </c>
      <c r="Q82" s="16" t="inlineStr">
        <is>
          <t>2026-04-08</t>
        </is>
      </c>
      <c r="R82" s="16" t="inlineStr">
        <is>
          <t>2026-04-19</t>
        </is>
      </c>
      <c r="S82" s="10">
        <f>DATEDIF(Q82, R82, "d")</f>
        <v/>
      </c>
      <c r="T82" s="19">
        <f>EOMONTH(Q82, 0)</f>
        <v/>
      </c>
      <c r="U82" s="20">
        <f>NOW()</f>
        <v/>
      </c>
      <c r="V82" s="10">
        <f>IF(ISNUMBER(MATCH(C82, $X$5:$X$18, 0)), "VIP Match", "Standard")</f>
        <v/>
      </c>
    </row>
    <row r="83">
      <c r="A83" s="16" t="inlineStr">
        <is>
          <t>TXN-2079</t>
        </is>
      </c>
      <c r="B83" s="16" t="inlineStr">
        <is>
          <t>2026-01-22</t>
        </is>
      </c>
      <c r="C83" s="10" t="inlineStr">
        <is>
          <t>Customer 002</t>
        </is>
      </c>
      <c r="D83" s="10" t="inlineStr">
        <is>
          <t>Retail</t>
        </is>
      </c>
      <c r="E83" s="10" t="inlineStr">
        <is>
          <t>Central</t>
        </is>
      </c>
      <c r="F83" s="10" t="inlineStr">
        <is>
          <t>Enterprise Analytics Pro</t>
        </is>
      </c>
      <c r="G83" s="10">
        <f>UPPER(LEFT(F83, 3)) &amp; "-" &amp; TEXT(LEN(F83), "00")</f>
        <v/>
      </c>
      <c r="H83" s="10" t="n">
        <v>22</v>
      </c>
      <c r="I83" s="17" t="n">
        <v>81.03</v>
      </c>
      <c r="J83" s="17">
        <f>H83*I83</f>
        <v/>
      </c>
      <c r="K83" s="18" t="n">
        <v>0.05</v>
      </c>
      <c r="L83" s="17">
        <f>J83*K83</f>
        <v/>
      </c>
      <c r="M83" s="17">
        <f>J83-L83</f>
        <v/>
      </c>
      <c r="N83" s="17">
        <f>J83*0.51</f>
        <v/>
      </c>
      <c r="O83" s="17">
        <f>M83-N83</f>
        <v/>
      </c>
      <c r="P83" s="18">
        <f>O83/M83</f>
        <v/>
      </c>
      <c r="Q83" s="16" t="inlineStr">
        <is>
          <t>2026-01-22</t>
        </is>
      </c>
      <c r="R83" s="16" t="inlineStr">
        <is>
          <t>2026-02-01</t>
        </is>
      </c>
      <c r="S83" s="10">
        <f>DATEDIF(Q83, R83, "d")</f>
        <v/>
      </c>
      <c r="T83" s="19">
        <f>EOMONTH(Q83, 0)</f>
        <v/>
      </c>
      <c r="U83" s="20">
        <f>NOW()</f>
        <v/>
      </c>
      <c r="V83" s="10">
        <f>IF(ISNUMBER(MATCH(C83, $X$5:$X$18, 0)), "VIP Match", "Standard")</f>
        <v/>
      </c>
    </row>
    <row r="84">
      <c r="A84" s="16" t="inlineStr">
        <is>
          <t>TXN-2080</t>
        </is>
      </c>
      <c r="B84" s="16" t="inlineStr">
        <is>
          <t>2026-06-23</t>
        </is>
      </c>
      <c r="C84" s="10" t="inlineStr">
        <is>
          <t>Customer 033</t>
        </is>
      </c>
      <c r="D84" s="10" t="inlineStr">
        <is>
          <t>Retail</t>
        </is>
      </c>
      <c r="E84" s="10" t="inlineStr">
        <is>
          <t>North</t>
        </is>
      </c>
      <c r="F84" s="10" t="inlineStr">
        <is>
          <t>Smart Metrics Dashboard</t>
        </is>
      </c>
      <c r="G84" s="10">
        <f>UPPER(LEFT(F84, 3)) &amp; "-" &amp; TEXT(LEN(F84), "00")</f>
        <v/>
      </c>
      <c r="H84" s="10" t="n">
        <v>11</v>
      </c>
      <c r="I84" s="17" t="n">
        <v>73.18000000000001</v>
      </c>
      <c r="J84" s="17">
        <f>H84*I84</f>
        <v/>
      </c>
      <c r="K84" s="18" t="n">
        <v>0.15</v>
      </c>
      <c r="L84" s="17">
        <f>J84*K84</f>
        <v/>
      </c>
      <c r="M84" s="17">
        <f>J84-L84</f>
        <v/>
      </c>
      <c r="N84" s="17">
        <f>J84*0.54</f>
        <v/>
      </c>
      <c r="O84" s="17">
        <f>M84-N84</f>
        <v/>
      </c>
      <c r="P84" s="18">
        <f>O84/M84</f>
        <v/>
      </c>
      <c r="Q84" s="16" t="inlineStr">
        <is>
          <t>2026-06-23</t>
        </is>
      </c>
      <c r="R84" s="16" t="inlineStr">
        <is>
          <t>2026-07-02</t>
        </is>
      </c>
      <c r="S84" s="10">
        <f>DATEDIF(Q84, R84, "d")</f>
        <v/>
      </c>
      <c r="T84" s="19">
        <f>EOMONTH(Q84, 0)</f>
        <v/>
      </c>
      <c r="U84" s="20">
        <f>NOW()</f>
        <v/>
      </c>
      <c r="V84" s="10">
        <f>IF(ISNUMBER(MATCH(C84, $X$5:$X$18, 0)), "VIP Match", "Standard")</f>
        <v/>
      </c>
    </row>
    <row r="85">
      <c r="A85" s="16" t="inlineStr">
        <is>
          <t>TXN-2081</t>
        </is>
      </c>
      <c r="B85" s="16" t="inlineStr">
        <is>
          <t>2026-02-27</t>
        </is>
      </c>
      <c r="C85" s="10" t="inlineStr">
        <is>
          <t>Customer 037</t>
        </is>
      </c>
      <c r="D85" s="10" t="inlineStr">
        <is>
          <t>Corporate</t>
        </is>
      </c>
      <c r="E85" s="10" t="inlineStr">
        <is>
          <t>West</t>
        </is>
      </c>
      <c r="F85" s="10" t="inlineStr">
        <is>
          <t>Smart Metrics Dashboard</t>
        </is>
      </c>
      <c r="G85" s="10">
        <f>UPPER(LEFT(F85, 3)) &amp; "-" &amp; TEXT(LEN(F85), "00")</f>
        <v/>
      </c>
      <c r="H85" s="10" t="n">
        <v>14</v>
      </c>
      <c r="I85" s="17" t="n">
        <v>441.16</v>
      </c>
      <c r="J85" s="17">
        <f>H85*I85</f>
        <v/>
      </c>
      <c r="K85" s="18" t="n">
        <v>0.1</v>
      </c>
      <c r="L85" s="17">
        <f>J85*K85</f>
        <v/>
      </c>
      <c r="M85" s="17">
        <f>J85-L85</f>
        <v/>
      </c>
      <c r="N85" s="17">
        <f>J85*0.65</f>
        <v/>
      </c>
      <c r="O85" s="17">
        <f>M85-N85</f>
        <v/>
      </c>
      <c r="P85" s="18">
        <f>O85/M85</f>
        <v/>
      </c>
      <c r="Q85" s="16" t="inlineStr">
        <is>
          <t>2026-02-27</t>
        </is>
      </c>
      <c r="R85" s="16" t="inlineStr">
        <is>
          <t>2026-03-12</t>
        </is>
      </c>
      <c r="S85" s="10">
        <f>DATEDIF(Q85, R85, "d")</f>
        <v/>
      </c>
      <c r="T85" s="19">
        <f>EOMONTH(Q85, 0)</f>
        <v/>
      </c>
      <c r="U85" s="20">
        <f>NOW()</f>
        <v/>
      </c>
      <c r="V85" s="10">
        <f>IF(ISNUMBER(MATCH(C85, $X$5:$X$18, 0)), "VIP Match", "Standard")</f>
        <v/>
      </c>
    </row>
    <row r="86">
      <c r="A86" s="16" t="inlineStr">
        <is>
          <t>TXN-2082</t>
        </is>
      </c>
      <c r="B86" s="16" t="inlineStr">
        <is>
          <t>2026-05-24</t>
        </is>
      </c>
      <c r="C86" s="10" t="inlineStr">
        <is>
          <t>Customer 047</t>
        </is>
      </c>
      <c r="D86" s="10" t="inlineStr">
        <is>
          <t>Retail</t>
        </is>
      </c>
      <c r="E86" s="10" t="inlineStr">
        <is>
          <t>East</t>
        </is>
      </c>
      <c r="F86" s="10" t="inlineStr">
        <is>
          <t>AI Insights Engine</t>
        </is>
      </c>
      <c r="G86" s="10">
        <f>UPPER(LEFT(F86, 3)) &amp; "-" &amp; TEXT(LEN(F86), "00")</f>
        <v/>
      </c>
      <c r="H86" s="10" t="n">
        <v>57</v>
      </c>
      <c r="I86" s="17" t="n">
        <v>266.9</v>
      </c>
      <c r="J86" s="17">
        <f>H86*I86</f>
        <v/>
      </c>
      <c r="K86" s="18" t="n">
        <v>0.2</v>
      </c>
      <c r="L86" s="17">
        <f>J86*K86</f>
        <v/>
      </c>
      <c r="M86" s="17">
        <f>J86-L86</f>
        <v/>
      </c>
      <c r="N86" s="17">
        <f>J86*0.49</f>
        <v/>
      </c>
      <c r="O86" s="17">
        <f>M86-N86</f>
        <v/>
      </c>
      <c r="P86" s="18">
        <f>O86/M86</f>
        <v/>
      </c>
      <c r="Q86" s="16" t="inlineStr">
        <is>
          <t>2026-05-24</t>
        </is>
      </c>
      <c r="R86" s="16" t="inlineStr">
        <is>
          <t>2026-06-05</t>
        </is>
      </c>
      <c r="S86" s="10">
        <f>DATEDIF(Q86, R86, "d")</f>
        <v/>
      </c>
      <c r="T86" s="19">
        <f>EOMONTH(Q86, 0)</f>
        <v/>
      </c>
      <c r="U86" s="20">
        <f>NOW()</f>
        <v/>
      </c>
      <c r="V86" s="10">
        <f>IF(ISNUMBER(MATCH(C86, $X$5:$X$18, 0)), "VIP Match", "Standard")</f>
        <v/>
      </c>
    </row>
    <row r="87">
      <c r="A87" s="16" t="inlineStr">
        <is>
          <t>TXN-2083</t>
        </is>
      </c>
      <c r="B87" s="16" t="inlineStr">
        <is>
          <t>2026-05-25</t>
        </is>
      </c>
      <c r="C87" s="10" t="inlineStr">
        <is>
          <t>Customer 039</t>
        </is>
      </c>
      <c r="D87" s="10" t="inlineStr">
        <is>
          <t>Wholesale</t>
        </is>
      </c>
      <c r="E87" s="10" t="inlineStr">
        <is>
          <t>East</t>
        </is>
      </c>
      <c r="F87" s="10" t="inlineStr">
        <is>
          <t>Data Vault Ultra</t>
        </is>
      </c>
      <c r="G87" s="10">
        <f>UPPER(LEFT(F87, 3)) &amp; "-" &amp; TEXT(LEN(F87), "00")</f>
        <v/>
      </c>
      <c r="H87" s="10" t="n">
        <v>16</v>
      </c>
      <c r="I87" s="17" t="n">
        <v>442.78</v>
      </c>
      <c r="J87" s="17">
        <f>H87*I87</f>
        <v/>
      </c>
      <c r="K87" s="18" t="n">
        <v>0.15</v>
      </c>
      <c r="L87" s="17">
        <f>J87*K87</f>
        <v/>
      </c>
      <c r="M87" s="17">
        <f>J87-L87</f>
        <v/>
      </c>
      <c r="N87" s="17">
        <f>J87*0.46</f>
        <v/>
      </c>
      <c r="O87" s="17">
        <f>M87-N87</f>
        <v/>
      </c>
      <c r="P87" s="18">
        <f>O87/M87</f>
        <v/>
      </c>
      <c r="Q87" s="16" t="inlineStr">
        <is>
          <t>2026-05-25</t>
        </is>
      </c>
      <c r="R87" s="16" t="inlineStr">
        <is>
          <t>2026-06-04</t>
        </is>
      </c>
      <c r="S87" s="10">
        <f>DATEDIF(Q87, R87, "d")</f>
        <v/>
      </c>
      <c r="T87" s="19">
        <f>EOMONTH(Q87, 0)</f>
        <v/>
      </c>
      <c r="U87" s="20">
        <f>NOW()</f>
        <v/>
      </c>
      <c r="V87" s="10">
        <f>IF(ISNUMBER(MATCH(C87, $X$5:$X$18, 0)), "VIP Match", "Standard")</f>
        <v/>
      </c>
    </row>
    <row r="88">
      <c r="A88" s="16" t="inlineStr">
        <is>
          <t>TXN-2084</t>
        </is>
      </c>
      <c r="B88" s="16" t="inlineStr">
        <is>
          <t>2026-05-28</t>
        </is>
      </c>
      <c r="C88" s="10" t="inlineStr">
        <is>
          <t>Customer 043</t>
        </is>
      </c>
      <c r="D88" s="10" t="inlineStr">
        <is>
          <t>Corporate</t>
        </is>
      </c>
      <c r="E88" s="10" t="inlineStr">
        <is>
          <t>North</t>
        </is>
      </c>
      <c r="F88" s="10" t="inlineStr">
        <is>
          <t>Cloud Intelligence Suite</t>
        </is>
      </c>
      <c r="G88" s="10">
        <f>UPPER(LEFT(F88, 3)) &amp; "-" &amp; TEXT(LEN(F88), "00")</f>
        <v/>
      </c>
      <c r="H88" s="10" t="n">
        <v>107</v>
      </c>
      <c r="I88" s="17" t="n">
        <v>227.26</v>
      </c>
      <c r="J88" s="17">
        <f>H88*I88</f>
        <v/>
      </c>
      <c r="K88" s="18" t="n">
        <v>0.15</v>
      </c>
      <c r="L88" s="17">
        <f>J88*K88</f>
        <v/>
      </c>
      <c r="M88" s="17">
        <f>J88-L88</f>
        <v/>
      </c>
      <c r="N88" s="17">
        <f>J88*0.53</f>
        <v/>
      </c>
      <c r="O88" s="17">
        <f>M88-N88</f>
        <v/>
      </c>
      <c r="P88" s="18">
        <f>O88/M88</f>
        <v/>
      </c>
      <c r="Q88" s="16" t="inlineStr">
        <is>
          <t>2026-05-28</t>
        </is>
      </c>
      <c r="R88" s="16" t="inlineStr">
        <is>
          <t>2026-06-09</t>
        </is>
      </c>
      <c r="S88" s="10">
        <f>DATEDIF(Q88, R88, "d")</f>
        <v/>
      </c>
      <c r="T88" s="19">
        <f>EOMONTH(Q88, 0)</f>
        <v/>
      </c>
      <c r="U88" s="20">
        <f>NOW()</f>
        <v/>
      </c>
      <c r="V88" s="10">
        <f>IF(ISNUMBER(MATCH(C88, $X$5:$X$18, 0)), "VIP Match", "Standard")</f>
        <v/>
      </c>
    </row>
    <row r="89">
      <c r="A89" s="16" t="inlineStr">
        <is>
          <t>TXN-2085</t>
        </is>
      </c>
      <c r="B89" s="16" t="inlineStr">
        <is>
          <t>2026-02-10</t>
        </is>
      </c>
      <c r="C89" s="10" t="inlineStr">
        <is>
          <t>Customer 050</t>
        </is>
      </c>
      <c r="D89" s="10" t="inlineStr">
        <is>
          <t>Wholesale</t>
        </is>
      </c>
      <c r="E89" s="10" t="inlineStr">
        <is>
          <t>East</t>
        </is>
      </c>
      <c r="F89" s="10" t="inlineStr">
        <is>
          <t>Enterprise Analytics Pro</t>
        </is>
      </c>
      <c r="G89" s="10">
        <f>UPPER(LEFT(F89, 3)) &amp; "-" &amp; TEXT(LEN(F89), "00")</f>
        <v/>
      </c>
      <c r="H89" s="10" t="n">
        <v>81</v>
      </c>
      <c r="I89" s="17" t="n">
        <v>253.86</v>
      </c>
      <c r="J89" s="17">
        <f>H89*I89</f>
        <v/>
      </c>
      <c r="K89" s="18" t="n">
        <v>0.2</v>
      </c>
      <c r="L89" s="17">
        <f>J89*K89</f>
        <v/>
      </c>
      <c r="M89" s="17">
        <f>J89-L89</f>
        <v/>
      </c>
      <c r="N89" s="17">
        <f>J89*0.49</f>
        <v/>
      </c>
      <c r="O89" s="17">
        <f>M89-N89</f>
        <v/>
      </c>
      <c r="P89" s="18">
        <f>O89/M89</f>
        <v/>
      </c>
      <c r="Q89" s="16" t="inlineStr">
        <is>
          <t>2026-02-10</t>
        </is>
      </c>
      <c r="R89" s="16" t="inlineStr">
        <is>
          <t>2026-02-16</t>
        </is>
      </c>
      <c r="S89" s="10">
        <f>DATEDIF(Q89, R89, "d")</f>
        <v/>
      </c>
      <c r="T89" s="19">
        <f>EOMONTH(Q89, 0)</f>
        <v/>
      </c>
      <c r="U89" s="20">
        <f>NOW()</f>
        <v/>
      </c>
      <c r="V89" s="10">
        <f>IF(ISNUMBER(MATCH(C89, $X$5:$X$18, 0)), "VIP Match", "Standard")</f>
        <v/>
      </c>
    </row>
    <row r="90">
      <c r="A90" s="16" t="inlineStr">
        <is>
          <t>TXN-2086</t>
        </is>
      </c>
      <c r="B90" s="16" t="inlineStr">
        <is>
          <t>2026-04-06</t>
        </is>
      </c>
      <c r="C90" s="10" t="inlineStr">
        <is>
          <t>Customer 047</t>
        </is>
      </c>
      <c r="D90" s="10" t="inlineStr">
        <is>
          <t>Retail</t>
        </is>
      </c>
      <c r="E90" s="10" t="inlineStr">
        <is>
          <t>East</t>
        </is>
      </c>
      <c r="F90" s="10" t="inlineStr">
        <is>
          <t>Smart Metrics Dashboard</t>
        </is>
      </c>
      <c r="G90" s="10">
        <f>UPPER(LEFT(F90, 3)) &amp; "-" &amp; TEXT(LEN(F90), "00")</f>
        <v/>
      </c>
      <c r="H90" s="10" t="n">
        <v>66</v>
      </c>
      <c r="I90" s="17" t="n">
        <v>246.83</v>
      </c>
      <c r="J90" s="17">
        <f>H90*I90</f>
        <v/>
      </c>
      <c r="K90" s="18" t="n">
        <v>0.1</v>
      </c>
      <c r="L90" s="17">
        <f>J90*K90</f>
        <v/>
      </c>
      <c r="M90" s="17">
        <f>J90-L90</f>
        <v/>
      </c>
      <c r="N90" s="17">
        <f>J90*0.49</f>
        <v/>
      </c>
      <c r="O90" s="17">
        <f>M90-N90</f>
        <v/>
      </c>
      <c r="P90" s="18">
        <f>O90/M90</f>
        <v/>
      </c>
      <c r="Q90" s="16" t="inlineStr">
        <is>
          <t>2026-04-06</t>
        </is>
      </c>
      <c r="R90" s="16" t="inlineStr">
        <is>
          <t>2026-04-17</t>
        </is>
      </c>
      <c r="S90" s="10">
        <f>DATEDIF(Q90, R90, "d")</f>
        <v/>
      </c>
      <c r="T90" s="19">
        <f>EOMONTH(Q90, 0)</f>
        <v/>
      </c>
      <c r="U90" s="20">
        <f>NOW()</f>
        <v/>
      </c>
      <c r="V90" s="10">
        <f>IF(ISNUMBER(MATCH(C90, $X$5:$X$18, 0)), "VIP Match", "Standard")</f>
        <v/>
      </c>
    </row>
    <row r="91">
      <c r="A91" s="16" t="inlineStr">
        <is>
          <t>TXN-2087</t>
        </is>
      </c>
      <c r="B91" s="16" t="inlineStr">
        <is>
          <t>2026-04-17</t>
        </is>
      </c>
      <c r="C91" s="10" t="inlineStr">
        <is>
          <t>Customer 027</t>
        </is>
      </c>
      <c r="D91" s="10" t="inlineStr">
        <is>
          <t>Enterprise</t>
        </is>
      </c>
      <c r="E91" s="10" t="inlineStr">
        <is>
          <t>East</t>
        </is>
      </c>
      <c r="F91" s="10" t="inlineStr">
        <is>
          <t>Cloud Intelligence Suite</t>
        </is>
      </c>
      <c r="G91" s="10">
        <f>UPPER(LEFT(F91, 3)) &amp; "-" &amp; TEXT(LEN(F91), "00")</f>
        <v/>
      </c>
      <c r="H91" s="10" t="n">
        <v>26</v>
      </c>
      <c r="I91" s="17" t="n">
        <v>338.67</v>
      </c>
      <c r="J91" s="17">
        <f>H91*I91</f>
        <v/>
      </c>
      <c r="K91" s="18" t="n">
        <v>0.15</v>
      </c>
      <c r="L91" s="17">
        <f>J91*K91</f>
        <v/>
      </c>
      <c r="M91" s="17">
        <f>J91-L91</f>
        <v/>
      </c>
      <c r="N91" s="17">
        <f>J91*0.47</f>
        <v/>
      </c>
      <c r="O91" s="17">
        <f>M91-N91</f>
        <v/>
      </c>
      <c r="P91" s="18">
        <f>O91/M91</f>
        <v/>
      </c>
      <c r="Q91" s="16" t="inlineStr">
        <is>
          <t>2026-04-17</t>
        </is>
      </c>
      <c r="R91" s="16" t="inlineStr">
        <is>
          <t>2026-04-30</t>
        </is>
      </c>
      <c r="S91" s="10">
        <f>DATEDIF(Q91, R91, "d")</f>
        <v/>
      </c>
      <c r="T91" s="19">
        <f>EOMONTH(Q91, 0)</f>
        <v/>
      </c>
      <c r="U91" s="20">
        <f>NOW()</f>
        <v/>
      </c>
      <c r="V91" s="10">
        <f>IF(ISNUMBER(MATCH(C91, $X$5:$X$18, 0)), "VIP Match", "Standard")</f>
        <v/>
      </c>
    </row>
    <row r="92">
      <c r="A92" s="16" t="inlineStr">
        <is>
          <t>TXN-2088</t>
        </is>
      </c>
      <c r="B92" s="16" t="inlineStr">
        <is>
          <t>2026-03-27</t>
        </is>
      </c>
      <c r="C92" s="10" t="inlineStr">
        <is>
          <t>Customer 047</t>
        </is>
      </c>
      <c r="D92" s="10" t="inlineStr">
        <is>
          <t>Corporate</t>
        </is>
      </c>
      <c r="E92" s="10" t="inlineStr">
        <is>
          <t>South</t>
        </is>
      </c>
      <c r="F92" s="10" t="inlineStr">
        <is>
          <t>Data Vault Ultra</t>
        </is>
      </c>
      <c r="G92" s="10">
        <f>UPPER(LEFT(F92, 3)) &amp; "-" &amp; TEXT(LEN(F92), "00")</f>
        <v/>
      </c>
      <c r="H92" s="10" t="n">
        <v>116</v>
      </c>
      <c r="I92" s="17" t="n">
        <v>201.6</v>
      </c>
      <c r="J92" s="17">
        <f>H92*I92</f>
        <v/>
      </c>
      <c r="K92" s="18" t="n">
        <v>0</v>
      </c>
      <c r="L92" s="17">
        <f>J92*K92</f>
        <v/>
      </c>
      <c r="M92" s="17">
        <f>J92-L92</f>
        <v/>
      </c>
      <c r="N92" s="17">
        <f>J92*0.50</f>
        <v/>
      </c>
      <c r="O92" s="17">
        <f>M92-N92</f>
        <v/>
      </c>
      <c r="P92" s="18">
        <f>O92/M92</f>
        <v/>
      </c>
      <c r="Q92" s="16" t="inlineStr">
        <is>
          <t>2026-03-27</t>
        </is>
      </c>
      <c r="R92" s="16" t="inlineStr">
        <is>
          <t>2026-04-01</t>
        </is>
      </c>
      <c r="S92" s="10">
        <f>DATEDIF(Q92, R92, "d")</f>
        <v/>
      </c>
      <c r="T92" s="19">
        <f>EOMONTH(Q92, 0)</f>
        <v/>
      </c>
      <c r="U92" s="20">
        <f>NOW()</f>
        <v/>
      </c>
      <c r="V92" s="10">
        <f>IF(ISNUMBER(MATCH(C92, $X$5:$X$18, 0)), "VIP Match", "Standard")</f>
        <v/>
      </c>
    </row>
    <row r="93">
      <c r="A93" s="16" t="inlineStr">
        <is>
          <t>TXN-2089</t>
        </is>
      </c>
      <c r="B93" s="16" t="inlineStr">
        <is>
          <t>2026-06-16</t>
        </is>
      </c>
      <c r="C93" s="10" t="inlineStr">
        <is>
          <t>Customer 035</t>
        </is>
      </c>
      <c r="D93" s="10" t="inlineStr">
        <is>
          <t>Retail</t>
        </is>
      </c>
      <c r="E93" s="10" t="inlineStr">
        <is>
          <t>Central</t>
        </is>
      </c>
      <c r="F93" s="10" t="inlineStr">
        <is>
          <t>Cloud Intelligence Suite</t>
        </is>
      </c>
      <c r="G93" s="10">
        <f>UPPER(LEFT(F93, 3)) &amp; "-" &amp; TEXT(LEN(F93), "00")</f>
        <v/>
      </c>
      <c r="H93" s="10" t="n">
        <v>23</v>
      </c>
      <c r="I93" s="17" t="n">
        <v>391.43</v>
      </c>
      <c r="J93" s="17">
        <f>H93*I93</f>
        <v/>
      </c>
      <c r="K93" s="18" t="n">
        <v>0.05</v>
      </c>
      <c r="L93" s="17">
        <f>J93*K93</f>
        <v/>
      </c>
      <c r="M93" s="17">
        <f>J93-L93</f>
        <v/>
      </c>
      <c r="N93" s="17">
        <f>J93*0.55</f>
        <v/>
      </c>
      <c r="O93" s="17">
        <f>M93-N93</f>
        <v/>
      </c>
      <c r="P93" s="18">
        <f>O93/M93</f>
        <v/>
      </c>
      <c r="Q93" s="16" t="inlineStr">
        <is>
          <t>2026-06-16</t>
        </is>
      </c>
      <c r="R93" s="16" t="inlineStr">
        <is>
          <t>2026-06-18</t>
        </is>
      </c>
      <c r="S93" s="10">
        <f>DATEDIF(Q93, R93, "d")</f>
        <v/>
      </c>
      <c r="T93" s="19">
        <f>EOMONTH(Q93, 0)</f>
        <v/>
      </c>
      <c r="U93" s="20">
        <f>NOW()</f>
        <v/>
      </c>
      <c r="V93" s="10">
        <f>IF(ISNUMBER(MATCH(C93, $X$5:$X$18, 0)), "VIP Match", "Standard")</f>
        <v/>
      </c>
    </row>
    <row r="94">
      <c r="A94" s="16" t="inlineStr">
        <is>
          <t>TXN-2090</t>
        </is>
      </c>
      <c r="B94" s="16" t="inlineStr">
        <is>
          <t>2026-03-03</t>
        </is>
      </c>
      <c r="C94" s="10" t="inlineStr">
        <is>
          <t>Customer 048</t>
        </is>
      </c>
      <c r="D94" s="10" t="inlineStr">
        <is>
          <t>Corporate</t>
        </is>
      </c>
      <c r="E94" s="10" t="inlineStr">
        <is>
          <t>North</t>
        </is>
      </c>
      <c r="F94" s="10" t="inlineStr">
        <is>
          <t>Smart Metrics Dashboard</t>
        </is>
      </c>
      <c r="G94" s="10">
        <f>UPPER(LEFT(F94, 3)) &amp; "-" &amp; TEXT(LEN(F94), "00")</f>
        <v/>
      </c>
      <c r="H94" s="10" t="n">
        <v>102</v>
      </c>
      <c r="I94" s="17" t="n">
        <v>56.76</v>
      </c>
      <c r="J94" s="17">
        <f>H94*I94</f>
        <v/>
      </c>
      <c r="K94" s="18" t="n">
        <v>0.05</v>
      </c>
      <c r="L94" s="17">
        <f>J94*K94</f>
        <v/>
      </c>
      <c r="M94" s="17">
        <f>J94-L94</f>
        <v/>
      </c>
      <c r="N94" s="17">
        <f>J94*0.50</f>
        <v/>
      </c>
      <c r="O94" s="17">
        <f>M94-N94</f>
        <v/>
      </c>
      <c r="P94" s="18">
        <f>O94/M94</f>
        <v/>
      </c>
      <c r="Q94" s="16" t="inlineStr">
        <is>
          <t>2026-03-03</t>
        </is>
      </c>
      <c r="R94" s="16" t="inlineStr">
        <is>
          <t>2026-03-06</t>
        </is>
      </c>
      <c r="S94" s="10">
        <f>DATEDIF(Q94, R94, "d")</f>
        <v/>
      </c>
      <c r="T94" s="19">
        <f>EOMONTH(Q94, 0)</f>
        <v/>
      </c>
      <c r="U94" s="20">
        <f>NOW()</f>
        <v/>
      </c>
      <c r="V94" s="10">
        <f>IF(ISNUMBER(MATCH(C94, $X$5:$X$18, 0)), "VIP Match", "Standard")</f>
        <v/>
      </c>
    </row>
    <row r="95">
      <c r="A95" s="16" t="inlineStr">
        <is>
          <t>TXN-2091</t>
        </is>
      </c>
      <c r="B95" s="16" t="inlineStr">
        <is>
          <t>2026-01-16</t>
        </is>
      </c>
      <c r="C95" s="10" t="inlineStr">
        <is>
          <t>Customer 046</t>
        </is>
      </c>
      <c r="D95" s="10" t="inlineStr">
        <is>
          <t>Enterprise</t>
        </is>
      </c>
      <c r="E95" s="10" t="inlineStr">
        <is>
          <t>North</t>
        </is>
      </c>
      <c r="F95" s="10" t="inlineStr">
        <is>
          <t>AI Insights Engine</t>
        </is>
      </c>
      <c r="G95" s="10">
        <f>UPPER(LEFT(F95, 3)) &amp; "-" &amp; TEXT(LEN(F95), "00")</f>
        <v/>
      </c>
      <c r="H95" s="10" t="n">
        <v>90</v>
      </c>
      <c r="I95" s="17" t="n">
        <v>395.03</v>
      </c>
      <c r="J95" s="17">
        <f>H95*I95</f>
        <v/>
      </c>
      <c r="K95" s="18" t="n">
        <v>0</v>
      </c>
      <c r="L95" s="17">
        <f>J95*K95</f>
        <v/>
      </c>
      <c r="M95" s="17">
        <f>J95-L95</f>
        <v/>
      </c>
      <c r="N95" s="17">
        <f>J95*0.56</f>
        <v/>
      </c>
      <c r="O95" s="17">
        <f>M95-N95</f>
        <v/>
      </c>
      <c r="P95" s="18">
        <f>O95/M95</f>
        <v/>
      </c>
      <c r="Q95" s="16" t="inlineStr">
        <is>
          <t>2026-01-16</t>
        </is>
      </c>
      <c r="R95" s="16" t="inlineStr">
        <is>
          <t>2026-01-18</t>
        </is>
      </c>
      <c r="S95" s="10">
        <f>DATEDIF(Q95, R95, "d")</f>
        <v/>
      </c>
      <c r="T95" s="19">
        <f>EOMONTH(Q95, 0)</f>
        <v/>
      </c>
      <c r="U95" s="20">
        <f>NOW()</f>
        <v/>
      </c>
      <c r="V95" s="10">
        <f>IF(ISNUMBER(MATCH(C95, $X$5:$X$18, 0)), "VIP Match", "Standard")</f>
        <v/>
      </c>
    </row>
    <row r="96">
      <c r="A96" s="16" t="inlineStr">
        <is>
          <t>TXN-2092</t>
        </is>
      </c>
      <c r="B96" s="16" t="inlineStr">
        <is>
          <t>2026-02-01</t>
        </is>
      </c>
      <c r="C96" s="10" t="inlineStr">
        <is>
          <t>Customer 035</t>
        </is>
      </c>
      <c r="D96" s="10" t="inlineStr">
        <is>
          <t>Retail</t>
        </is>
      </c>
      <c r="E96" s="10" t="inlineStr">
        <is>
          <t>South</t>
        </is>
      </c>
      <c r="F96" s="10" t="inlineStr">
        <is>
          <t>Enterprise Analytics Pro</t>
        </is>
      </c>
      <c r="G96" s="10">
        <f>UPPER(LEFT(F96, 3)) &amp; "-" &amp; TEXT(LEN(F96), "00")</f>
        <v/>
      </c>
      <c r="H96" s="10" t="n">
        <v>95</v>
      </c>
      <c r="I96" s="17" t="n">
        <v>374.95</v>
      </c>
      <c r="J96" s="17">
        <f>H96*I96</f>
        <v/>
      </c>
      <c r="K96" s="18" t="n">
        <v>0.1</v>
      </c>
      <c r="L96" s="17">
        <f>J96*K96</f>
        <v/>
      </c>
      <c r="M96" s="17">
        <f>J96-L96</f>
        <v/>
      </c>
      <c r="N96" s="17">
        <f>J96*0.61</f>
        <v/>
      </c>
      <c r="O96" s="17">
        <f>M96-N96</f>
        <v/>
      </c>
      <c r="P96" s="18">
        <f>O96/M96</f>
        <v/>
      </c>
      <c r="Q96" s="16" t="inlineStr">
        <is>
          <t>2026-02-01</t>
        </is>
      </c>
      <c r="R96" s="16" t="inlineStr">
        <is>
          <t>2026-02-12</t>
        </is>
      </c>
      <c r="S96" s="10">
        <f>DATEDIF(Q96, R96, "d")</f>
        <v/>
      </c>
      <c r="T96" s="19">
        <f>EOMONTH(Q96, 0)</f>
        <v/>
      </c>
      <c r="U96" s="20">
        <f>NOW()</f>
        <v/>
      </c>
      <c r="V96" s="10">
        <f>IF(ISNUMBER(MATCH(C96, $X$5:$X$18, 0)), "VIP Match", "Standard")</f>
        <v/>
      </c>
    </row>
    <row r="97">
      <c r="A97" s="16" t="inlineStr">
        <is>
          <t>TXN-2093</t>
        </is>
      </c>
      <c r="B97" s="16" t="inlineStr">
        <is>
          <t>2026-03-26</t>
        </is>
      </c>
      <c r="C97" s="10" t="inlineStr">
        <is>
          <t>Customer 013</t>
        </is>
      </c>
      <c r="D97" s="10" t="inlineStr">
        <is>
          <t>Corporate</t>
        </is>
      </c>
      <c r="E97" s="10" t="inlineStr">
        <is>
          <t>North</t>
        </is>
      </c>
      <c r="F97" s="10" t="inlineStr">
        <is>
          <t>Data Vault Ultra</t>
        </is>
      </c>
      <c r="G97" s="10">
        <f>UPPER(LEFT(F97, 3)) &amp; "-" &amp; TEXT(LEN(F97), "00")</f>
        <v/>
      </c>
      <c r="H97" s="10" t="n">
        <v>55</v>
      </c>
      <c r="I97" s="17" t="n">
        <v>324.45</v>
      </c>
      <c r="J97" s="17">
        <f>H97*I97</f>
        <v/>
      </c>
      <c r="K97" s="18" t="n">
        <v>0.1</v>
      </c>
      <c r="L97" s="17">
        <f>J97*K97</f>
        <v/>
      </c>
      <c r="M97" s="17">
        <f>J97-L97</f>
        <v/>
      </c>
      <c r="N97" s="17">
        <f>J97*0.57</f>
        <v/>
      </c>
      <c r="O97" s="17">
        <f>M97-N97</f>
        <v/>
      </c>
      <c r="P97" s="18">
        <f>O97/M97</f>
        <v/>
      </c>
      <c r="Q97" s="16" t="inlineStr">
        <is>
          <t>2026-03-26</t>
        </is>
      </c>
      <c r="R97" s="16" t="inlineStr">
        <is>
          <t>2026-04-01</t>
        </is>
      </c>
      <c r="S97" s="10">
        <f>DATEDIF(Q97, R97, "d")</f>
        <v/>
      </c>
      <c r="T97" s="19">
        <f>EOMONTH(Q97, 0)</f>
        <v/>
      </c>
      <c r="U97" s="20">
        <f>NOW()</f>
        <v/>
      </c>
      <c r="V97" s="10">
        <f>IF(ISNUMBER(MATCH(C97, $X$5:$X$18, 0)), "VIP Match", "Standard")</f>
        <v/>
      </c>
    </row>
    <row r="98">
      <c r="A98" s="16" t="inlineStr">
        <is>
          <t>TXN-2094</t>
        </is>
      </c>
      <c r="B98" s="16" t="inlineStr">
        <is>
          <t>2026-06-20</t>
        </is>
      </c>
      <c r="C98" s="10" t="inlineStr">
        <is>
          <t>Customer 045</t>
        </is>
      </c>
      <c r="D98" s="10" t="inlineStr">
        <is>
          <t>Wholesale</t>
        </is>
      </c>
      <c r="E98" s="10" t="inlineStr">
        <is>
          <t>South</t>
        </is>
      </c>
      <c r="F98" s="10" t="inlineStr">
        <is>
          <t>Cloud Intelligence Suite</t>
        </is>
      </c>
      <c r="G98" s="10">
        <f>UPPER(LEFT(F98, 3)) &amp; "-" &amp; TEXT(LEN(F98), "00")</f>
        <v/>
      </c>
      <c r="H98" s="10" t="n">
        <v>77</v>
      </c>
      <c r="I98" s="17" t="n">
        <v>173.94</v>
      </c>
      <c r="J98" s="17">
        <f>H98*I98</f>
        <v/>
      </c>
      <c r="K98" s="18" t="n">
        <v>0.2</v>
      </c>
      <c r="L98" s="17">
        <f>J98*K98</f>
        <v/>
      </c>
      <c r="M98" s="17">
        <f>J98-L98</f>
        <v/>
      </c>
      <c r="N98" s="17">
        <f>J98*0.49</f>
        <v/>
      </c>
      <c r="O98" s="17">
        <f>M98-N98</f>
        <v/>
      </c>
      <c r="P98" s="18">
        <f>O98/M98</f>
        <v/>
      </c>
      <c r="Q98" s="16" t="inlineStr">
        <is>
          <t>2026-06-20</t>
        </is>
      </c>
      <c r="R98" s="16" t="inlineStr">
        <is>
          <t>2026-06-23</t>
        </is>
      </c>
      <c r="S98" s="10">
        <f>DATEDIF(Q98, R98, "d")</f>
        <v/>
      </c>
      <c r="T98" s="19">
        <f>EOMONTH(Q98, 0)</f>
        <v/>
      </c>
      <c r="U98" s="20">
        <f>NOW()</f>
        <v/>
      </c>
      <c r="V98" s="10">
        <f>IF(ISNUMBER(MATCH(C98, $X$5:$X$18, 0)), "VIP Match", "Standard")</f>
        <v/>
      </c>
    </row>
    <row r="99">
      <c r="A99" s="16" t="inlineStr">
        <is>
          <t>TXN-2095</t>
        </is>
      </c>
      <c r="B99" s="16" t="inlineStr">
        <is>
          <t>2026-06-21</t>
        </is>
      </c>
      <c r="C99" s="10" t="inlineStr">
        <is>
          <t>Customer 012</t>
        </is>
      </c>
      <c r="D99" s="10" t="inlineStr">
        <is>
          <t>Enterprise</t>
        </is>
      </c>
      <c r="E99" s="10" t="inlineStr">
        <is>
          <t>East</t>
        </is>
      </c>
      <c r="F99" s="10" t="inlineStr">
        <is>
          <t>Data Vault Ultra</t>
        </is>
      </c>
      <c r="G99" s="10">
        <f>UPPER(LEFT(F99, 3)) &amp; "-" &amp; TEXT(LEN(F99), "00")</f>
        <v/>
      </c>
      <c r="H99" s="10" t="n">
        <v>18</v>
      </c>
      <c r="I99" s="17" t="n">
        <v>142.77</v>
      </c>
      <c r="J99" s="17">
        <f>H99*I99</f>
        <v/>
      </c>
      <c r="K99" s="18" t="n">
        <v>0.1</v>
      </c>
      <c r="L99" s="17">
        <f>J99*K99</f>
        <v/>
      </c>
      <c r="M99" s="17">
        <f>J99-L99</f>
        <v/>
      </c>
      <c r="N99" s="17">
        <f>J99*0.64</f>
        <v/>
      </c>
      <c r="O99" s="17">
        <f>M99-N99</f>
        <v/>
      </c>
      <c r="P99" s="18">
        <f>O99/M99</f>
        <v/>
      </c>
      <c r="Q99" s="16" t="inlineStr">
        <is>
          <t>2026-06-21</t>
        </is>
      </c>
      <c r="R99" s="16" t="inlineStr">
        <is>
          <t>2026-07-01</t>
        </is>
      </c>
      <c r="S99" s="10">
        <f>DATEDIF(Q99, R99, "d")</f>
        <v/>
      </c>
      <c r="T99" s="19">
        <f>EOMONTH(Q99, 0)</f>
        <v/>
      </c>
      <c r="U99" s="20">
        <f>NOW()</f>
        <v/>
      </c>
      <c r="V99" s="10">
        <f>IF(ISNUMBER(MATCH(C99, $X$5:$X$18, 0)), "VIP Match", "Standard")</f>
        <v/>
      </c>
    </row>
    <row r="100">
      <c r="A100" s="16" t="inlineStr">
        <is>
          <t>TXN-2096</t>
        </is>
      </c>
      <c r="B100" s="16" t="inlineStr">
        <is>
          <t>2026-06-13</t>
        </is>
      </c>
      <c r="C100" s="10" t="inlineStr">
        <is>
          <t>Customer 047</t>
        </is>
      </c>
      <c r="D100" s="10" t="inlineStr">
        <is>
          <t>Corporate</t>
        </is>
      </c>
      <c r="E100" s="10" t="inlineStr">
        <is>
          <t>Central</t>
        </is>
      </c>
      <c r="F100" s="10" t="inlineStr">
        <is>
          <t>Data Vault Ultra</t>
        </is>
      </c>
      <c r="G100" s="10">
        <f>UPPER(LEFT(F100, 3)) &amp; "-" &amp; TEXT(LEN(F100), "00")</f>
        <v/>
      </c>
      <c r="H100" s="10" t="n">
        <v>58</v>
      </c>
      <c r="I100" s="17" t="n">
        <v>250.39</v>
      </c>
      <c r="J100" s="17">
        <f>H100*I100</f>
        <v/>
      </c>
      <c r="K100" s="18" t="n">
        <v>0.1</v>
      </c>
      <c r="L100" s="17">
        <f>J100*K100</f>
        <v/>
      </c>
      <c r="M100" s="17">
        <f>J100-L100</f>
        <v/>
      </c>
      <c r="N100" s="17">
        <f>J100*0.60</f>
        <v/>
      </c>
      <c r="O100" s="17">
        <f>M100-N100</f>
        <v/>
      </c>
      <c r="P100" s="18">
        <f>O100/M100</f>
        <v/>
      </c>
      <c r="Q100" s="16" t="inlineStr">
        <is>
          <t>2026-06-13</t>
        </is>
      </c>
      <c r="R100" s="16" t="inlineStr">
        <is>
          <t>2026-06-19</t>
        </is>
      </c>
      <c r="S100" s="10">
        <f>DATEDIF(Q100, R100, "d")</f>
        <v/>
      </c>
      <c r="T100" s="19">
        <f>EOMONTH(Q100, 0)</f>
        <v/>
      </c>
      <c r="U100" s="20">
        <f>NOW()</f>
        <v/>
      </c>
      <c r="V100" s="10">
        <f>IF(ISNUMBER(MATCH(C100, $X$5:$X$18, 0)), "VIP Match", "Standard")</f>
        <v/>
      </c>
    </row>
    <row r="101">
      <c r="A101" s="16" t="inlineStr">
        <is>
          <t>TXN-2097</t>
        </is>
      </c>
      <c r="B101" s="16" t="inlineStr">
        <is>
          <t>2026-01-12</t>
        </is>
      </c>
      <c r="C101" s="10" t="inlineStr">
        <is>
          <t>Customer 034</t>
        </is>
      </c>
      <c r="D101" s="10" t="inlineStr">
        <is>
          <t>Enterprise</t>
        </is>
      </c>
      <c r="E101" s="10" t="inlineStr">
        <is>
          <t>Central</t>
        </is>
      </c>
      <c r="F101" s="10" t="inlineStr">
        <is>
          <t>Smart Metrics Dashboard</t>
        </is>
      </c>
      <c r="G101" s="10">
        <f>UPPER(LEFT(F101, 3)) &amp; "-" &amp; TEXT(LEN(F101), "00")</f>
        <v/>
      </c>
      <c r="H101" s="10" t="n">
        <v>48</v>
      </c>
      <c r="I101" s="17" t="n">
        <v>368.19</v>
      </c>
      <c r="J101" s="17">
        <f>H101*I101</f>
        <v/>
      </c>
      <c r="K101" s="18" t="n">
        <v>0.15</v>
      </c>
      <c r="L101" s="17">
        <f>J101*K101</f>
        <v/>
      </c>
      <c r="M101" s="17">
        <f>J101-L101</f>
        <v/>
      </c>
      <c r="N101" s="17">
        <f>J101*0.57</f>
        <v/>
      </c>
      <c r="O101" s="17">
        <f>M101-N101</f>
        <v/>
      </c>
      <c r="P101" s="18">
        <f>O101/M101</f>
        <v/>
      </c>
      <c r="Q101" s="16" t="inlineStr">
        <is>
          <t>2026-01-12</t>
        </is>
      </c>
      <c r="R101" s="16" t="inlineStr">
        <is>
          <t>2026-01-19</t>
        </is>
      </c>
      <c r="S101" s="10">
        <f>DATEDIF(Q101, R101, "d")</f>
        <v/>
      </c>
      <c r="T101" s="19">
        <f>EOMONTH(Q101, 0)</f>
        <v/>
      </c>
      <c r="U101" s="20">
        <f>NOW()</f>
        <v/>
      </c>
      <c r="V101" s="10">
        <f>IF(ISNUMBER(MATCH(C101, $X$5:$X$18, 0)), "VIP Match", "Standard")</f>
        <v/>
      </c>
    </row>
    <row r="102">
      <c r="A102" s="16" t="inlineStr">
        <is>
          <t>TXN-2098</t>
        </is>
      </c>
      <c r="B102" s="16" t="inlineStr">
        <is>
          <t>2026-06-28</t>
        </is>
      </c>
      <c r="C102" s="10" t="inlineStr">
        <is>
          <t>Customer 013</t>
        </is>
      </c>
      <c r="D102" s="10" t="inlineStr">
        <is>
          <t>Corporate</t>
        </is>
      </c>
      <c r="E102" s="10" t="inlineStr">
        <is>
          <t>North</t>
        </is>
      </c>
      <c r="F102" s="10" t="inlineStr">
        <is>
          <t>Data Vault Ultra</t>
        </is>
      </c>
      <c r="G102" s="10">
        <f>UPPER(LEFT(F102, 3)) &amp; "-" &amp; TEXT(LEN(F102), "00")</f>
        <v/>
      </c>
      <c r="H102" s="10" t="n">
        <v>11</v>
      </c>
      <c r="I102" s="17" t="n">
        <v>237.37</v>
      </c>
      <c r="J102" s="17">
        <f>H102*I102</f>
        <v/>
      </c>
      <c r="K102" s="18" t="n">
        <v>0</v>
      </c>
      <c r="L102" s="17">
        <f>J102*K102</f>
        <v/>
      </c>
      <c r="M102" s="17">
        <f>J102-L102</f>
        <v/>
      </c>
      <c r="N102" s="17">
        <f>J102*0.54</f>
        <v/>
      </c>
      <c r="O102" s="17">
        <f>M102-N102</f>
        <v/>
      </c>
      <c r="P102" s="18">
        <f>O102/M102</f>
        <v/>
      </c>
      <c r="Q102" s="16" t="inlineStr">
        <is>
          <t>2026-06-28</t>
        </is>
      </c>
      <c r="R102" s="16" t="inlineStr">
        <is>
          <t>2026-07-08</t>
        </is>
      </c>
      <c r="S102" s="10">
        <f>DATEDIF(Q102, R102, "d")</f>
        <v/>
      </c>
      <c r="T102" s="19">
        <f>EOMONTH(Q102, 0)</f>
        <v/>
      </c>
      <c r="U102" s="20">
        <f>NOW()</f>
        <v/>
      </c>
      <c r="V102" s="10">
        <f>IF(ISNUMBER(MATCH(C102, $X$5:$X$18, 0)), "VIP Match", "Standard")</f>
        <v/>
      </c>
    </row>
    <row r="103">
      <c r="A103" s="16" t="inlineStr">
        <is>
          <t>TXN-2099</t>
        </is>
      </c>
      <c r="B103" s="16" t="inlineStr">
        <is>
          <t>2026-06-26</t>
        </is>
      </c>
      <c r="C103" s="10" t="inlineStr">
        <is>
          <t>Customer 043</t>
        </is>
      </c>
      <c r="D103" s="10" t="inlineStr">
        <is>
          <t>Wholesale</t>
        </is>
      </c>
      <c r="E103" s="10" t="inlineStr">
        <is>
          <t>South</t>
        </is>
      </c>
      <c r="F103" s="10" t="inlineStr">
        <is>
          <t>Smart Metrics Dashboard</t>
        </is>
      </c>
      <c r="G103" s="10">
        <f>UPPER(LEFT(F103, 3)) &amp; "-" &amp; TEXT(LEN(F103), "00")</f>
        <v/>
      </c>
      <c r="H103" s="10" t="n">
        <v>47</v>
      </c>
      <c r="I103" s="17" t="n">
        <v>248.51</v>
      </c>
      <c r="J103" s="17">
        <f>H103*I103</f>
        <v/>
      </c>
      <c r="K103" s="18" t="n">
        <v>0.2</v>
      </c>
      <c r="L103" s="17">
        <f>J103*K103</f>
        <v/>
      </c>
      <c r="M103" s="17">
        <f>J103-L103</f>
        <v/>
      </c>
      <c r="N103" s="17">
        <f>J103*0.62</f>
        <v/>
      </c>
      <c r="O103" s="17">
        <f>M103-N103</f>
        <v/>
      </c>
      <c r="P103" s="18">
        <f>O103/M103</f>
        <v/>
      </c>
      <c r="Q103" s="16" t="inlineStr">
        <is>
          <t>2026-06-26</t>
        </is>
      </c>
      <c r="R103" s="16" t="inlineStr">
        <is>
          <t>2026-07-01</t>
        </is>
      </c>
      <c r="S103" s="10">
        <f>DATEDIF(Q103, R103, "d")</f>
        <v/>
      </c>
      <c r="T103" s="19">
        <f>EOMONTH(Q103, 0)</f>
        <v/>
      </c>
      <c r="U103" s="20">
        <f>NOW()</f>
        <v/>
      </c>
      <c r="V103" s="10">
        <f>IF(ISNUMBER(MATCH(C103, $X$5:$X$18, 0)), "VIP Match", "Standard")</f>
        <v/>
      </c>
    </row>
    <row r="104">
      <c r="A104" s="16" t="inlineStr">
        <is>
          <t>TXN-2100</t>
        </is>
      </c>
      <c r="B104" s="16" t="inlineStr">
        <is>
          <t>2026-01-26</t>
        </is>
      </c>
      <c r="C104" s="10" t="inlineStr">
        <is>
          <t>Customer 011</t>
        </is>
      </c>
      <c r="D104" s="10" t="inlineStr">
        <is>
          <t>Corporate</t>
        </is>
      </c>
      <c r="E104" s="10" t="inlineStr">
        <is>
          <t>East</t>
        </is>
      </c>
      <c r="F104" s="10" t="inlineStr">
        <is>
          <t>Cloud Intelligence Suite</t>
        </is>
      </c>
      <c r="G104" s="10">
        <f>UPPER(LEFT(F104, 3)) &amp; "-" &amp; TEXT(LEN(F104), "00")</f>
        <v/>
      </c>
      <c r="H104" s="10" t="n">
        <v>111</v>
      </c>
      <c r="I104" s="17" t="n">
        <v>446.99</v>
      </c>
      <c r="J104" s="17">
        <f>H104*I104</f>
        <v/>
      </c>
      <c r="K104" s="18" t="n">
        <v>0.15</v>
      </c>
      <c r="L104" s="17">
        <f>J104*K104</f>
        <v/>
      </c>
      <c r="M104" s="17">
        <f>J104-L104</f>
        <v/>
      </c>
      <c r="N104" s="17">
        <f>J104*0.63</f>
        <v/>
      </c>
      <c r="O104" s="17">
        <f>M104-N104</f>
        <v/>
      </c>
      <c r="P104" s="18">
        <f>O104/M104</f>
        <v/>
      </c>
      <c r="Q104" s="16" t="inlineStr">
        <is>
          <t>2026-01-26</t>
        </is>
      </c>
      <c r="R104" s="16" t="inlineStr">
        <is>
          <t>2026-01-31</t>
        </is>
      </c>
      <c r="S104" s="10">
        <f>DATEDIF(Q104, R104, "d")</f>
        <v/>
      </c>
      <c r="T104" s="19">
        <f>EOMONTH(Q104, 0)</f>
        <v/>
      </c>
      <c r="U104" s="20">
        <f>NOW()</f>
        <v/>
      </c>
      <c r="V104" s="10">
        <f>IF(ISNUMBER(MATCH(C104, $X$5:$X$18, 0)), "VIP Match", "Standard")</f>
        <v/>
      </c>
    </row>
    <row r="105">
      <c r="A105" s="16" t="inlineStr">
        <is>
          <t>TXN-2101</t>
        </is>
      </c>
      <c r="B105" s="16" t="inlineStr">
        <is>
          <t>2026-01-13</t>
        </is>
      </c>
      <c r="C105" s="10" t="inlineStr">
        <is>
          <t>Customer 024</t>
        </is>
      </c>
      <c r="D105" s="10" t="inlineStr">
        <is>
          <t>Retail</t>
        </is>
      </c>
      <c r="E105" s="10" t="inlineStr">
        <is>
          <t>East</t>
        </is>
      </c>
      <c r="F105" s="10" t="inlineStr">
        <is>
          <t>Smart Metrics Dashboard</t>
        </is>
      </c>
      <c r="G105" s="10">
        <f>UPPER(LEFT(F105, 3)) &amp; "-" &amp; TEXT(LEN(F105), "00")</f>
        <v/>
      </c>
      <c r="H105" s="10" t="n">
        <v>67</v>
      </c>
      <c r="I105" s="17" t="n">
        <v>179.12</v>
      </c>
      <c r="J105" s="17">
        <f>H105*I105</f>
        <v/>
      </c>
      <c r="K105" s="18" t="n">
        <v>0.05</v>
      </c>
      <c r="L105" s="17">
        <f>J105*K105</f>
        <v/>
      </c>
      <c r="M105" s="17">
        <f>J105-L105</f>
        <v/>
      </c>
      <c r="N105" s="17">
        <f>J105*0.49</f>
        <v/>
      </c>
      <c r="O105" s="17">
        <f>M105-N105</f>
        <v/>
      </c>
      <c r="P105" s="18">
        <f>O105/M105</f>
        <v/>
      </c>
      <c r="Q105" s="16" t="inlineStr">
        <is>
          <t>2026-01-13</t>
        </is>
      </c>
      <c r="R105" s="16" t="inlineStr">
        <is>
          <t>2026-01-14</t>
        </is>
      </c>
      <c r="S105" s="10">
        <f>DATEDIF(Q105, R105, "d")</f>
        <v/>
      </c>
      <c r="T105" s="19">
        <f>EOMONTH(Q105, 0)</f>
        <v/>
      </c>
      <c r="U105" s="20">
        <f>NOW()</f>
        <v/>
      </c>
      <c r="V105" s="10">
        <f>IF(ISNUMBER(MATCH(C105, $X$5:$X$18, 0)), "VIP Match", "Standard")</f>
        <v/>
      </c>
    </row>
    <row r="106">
      <c r="A106" s="16" t="inlineStr">
        <is>
          <t>TXN-2102</t>
        </is>
      </c>
      <c r="B106" s="16" t="inlineStr">
        <is>
          <t>2026-01-08</t>
        </is>
      </c>
      <c r="C106" s="10" t="inlineStr">
        <is>
          <t>Customer 038</t>
        </is>
      </c>
      <c r="D106" s="10" t="inlineStr">
        <is>
          <t>Wholesale</t>
        </is>
      </c>
      <c r="E106" s="10" t="inlineStr">
        <is>
          <t>West</t>
        </is>
      </c>
      <c r="F106" s="10" t="inlineStr">
        <is>
          <t>Enterprise Analytics Pro</t>
        </is>
      </c>
      <c r="G106" s="10">
        <f>UPPER(LEFT(F106, 3)) &amp; "-" &amp; TEXT(LEN(F106), "00")</f>
        <v/>
      </c>
      <c r="H106" s="10" t="n">
        <v>108</v>
      </c>
      <c r="I106" s="17" t="n">
        <v>155.14</v>
      </c>
      <c r="J106" s="17">
        <f>H106*I106</f>
        <v/>
      </c>
      <c r="K106" s="18" t="n">
        <v>0.15</v>
      </c>
      <c r="L106" s="17">
        <f>J106*K106</f>
        <v/>
      </c>
      <c r="M106" s="17">
        <f>J106-L106</f>
        <v/>
      </c>
      <c r="N106" s="17">
        <f>J106*0.62</f>
        <v/>
      </c>
      <c r="O106" s="17">
        <f>M106-N106</f>
        <v/>
      </c>
      <c r="P106" s="18">
        <f>O106/M106</f>
        <v/>
      </c>
      <c r="Q106" s="16" t="inlineStr">
        <is>
          <t>2026-01-08</t>
        </is>
      </c>
      <c r="R106" s="16" t="inlineStr">
        <is>
          <t>2026-01-15</t>
        </is>
      </c>
      <c r="S106" s="10">
        <f>DATEDIF(Q106, R106, "d")</f>
        <v/>
      </c>
      <c r="T106" s="19">
        <f>EOMONTH(Q106, 0)</f>
        <v/>
      </c>
      <c r="U106" s="20">
        <f>NOW()</f>
        <v/>
      </c>
      <c r="V106" s="10">
        <f>IF(ISNUMBER(MATCH(C106, $X$5:$X$18, 0)), "VIP Match", "Standard")</f>
        <v/>
      </c>
    </row>
    <row r="107">
      <c r="A107" s="16" t="inlineStr">
        <is>
          <t>TXN-2103</t>
        </is>
      </c>
      <c r="B107" s="16" t="inlineStr">
        <is>
          <t>2026-03-31</t>
        </is>
      </c>
      <c r="C107" s="10" t="inlineStr">
        <is>
          <t>Customer 010</t>
        </is>
      </c>
      <c r="D107" s="10" t="inlineStr">
        <is>
          <t>Wholesale</t>
        </is>
      </c>
      <c r="E107" s="10" t="inlineStr">
        <is>
          <t>North</t>
        </is>
      </c>
      <c r="F107" s="10" t="inlineStr">
        <is>
          <t>Smart Metrics Dashboard</t>
        </is>
      </c>
      <c r="G107" s="10">
        <f>UPPER(LEFT(F107, 3)) &amp; "-" &amp; TEXT(LEN(F107), "00")</f>
        <v/>
      </c>
      <c r="H107" s="10" t="n">
        <v>20</v>
      </c>
      <c r="I107" s="17" t="n">
        <v>390.35</v>
      </c>
      <c r="J107" s="17">
        <f>H107*I107</f>
        <v/>
      </c>
      <c r="K107" s="18" t="n">
        <v>0</v>
      </c>
      <c r="L107" s="17">
        <f>J107*K107</f>
        <v/>
      </c>
      <c r="M107" s="17">
        <f>J107-L107</f>
        <v/>
      </c>
      <c r="N107" s="17">
        <f>J107*0.61</f>
        <v/>
      </c>
      <c r="O107" s="17">
        <f>M107-N107</f>
        <v/>
      </c>
      <c r="P107" s="18">
        <f>O107/M107</f>
        <v/>
      </c>
      <c r="Q107" s="16" t="inlineStr">
        <is>
          <t>2026-03-31</t>
        </is>
      </c>
      <c r="R107" s="16" t="inlineStr">
        <is>
          <t>2026-04-11</t>
        </is>
      </c>
      <c r="S107" s="10">
        <f>DATEDIF(Q107, R107, "d")</f>
        <v/>
      </c>
      <c r="T107" s="19">
        <f>EOMONTH(Q107, 0)</f>
        <v/>
      </c>
      <c r="U107" s="20">
        <f>NOW()</f>
        <v/>
      </c>
      <c r="V107" s="10">
        <f>IF(ISNUMBER(MATCH(C107, $X$5:$X$18, 0)), "VIP Match", "Standard")</f>
        <v/>
      </c>
    </row>
    <row r="108">
      <c r="A108" s="16" t="inlineStr">
        <is>
          <t>TXN-2104</t>
        </is>
      </c>
      <c r="B108" s="16" t="inlineStr">
        <is>
          <t>2026-01-11</t>
        </is>
      </c>
      <c r="C108" s="10" t="inlineStr">
        <is>
          <t>Customer 016</t>
        </is>
      </c>
      <c r="D108" s="10" t="inlineStr">
        <is>
          <t>Enterprise</t>
        </is>
      </c>
      <c r="E108" s="10" t="inlineStr">
        <is>
          <t>East</t>
        </is>
      </c>
      <c r="F108" s="10" t="inlineStr">
        <is>
          <t>Enterprise Analytics Pro</t>
        </is>
      </c>
      <c r="G108" s="10">
        <f>UPPER(LEFT(F108, 3)) &amp; "-" &amp; TEXT(LEN(F108), "00")</f>
        <v/>
      </c>
      <c r="H108" s="10" t="n">
        <v>11</v>
      </c>
      <c r="I108" s="17" t="n">
        <v>382.61</v>
      </c>
      <c r="J108" s="17">
        <f>H108*I108</f>
        <v/>
      </c>
      <c r="K108" s="18" t="n">
        <v>0.2</v>
      </c>
      <c r="L108" s="17">
        <f>J108*K108</f>
        <v/>
      </c>
      <c r="M108" s="17">
        <f>J108-L108</f>
        <v/>
      </c>
      <c r="N108" s="17">
        <f>J108*0.54</f>
        <v/>
      </c>
      <c r="O108" s="17">
        <f>M108-N108</f>
        <v/>
      </c>
      <c r="P108" s="18">
        <f>O108/M108</f>
        <v/>
      </c>
      <c r="Q108" s="16" t="inlineStr">
        <is>
          <t>2026-01-11</t>
        </is>
      </c>
      <c r="R108" s="16" t="inlineStr">
        <is>
          <t>2026-01-21</t>
        </is>
      </c>
      <c r="S108" s="10">
        <f>DATEDIF(Q108, R108, "d")</f>
        <v/>
      </c>
      <c r="T108" s="19">
        <f>EOMONTH(Q108, 0)</f>
        <v/>
      </c>
      <c r="U108" s="20">
        <f>NOW()</f>
        <v/>
      </c>
      <c r="V108" s="10">
        <f>IF(ISNUMBER(MATCH(C108, $X$5:$X$18, 0)), "VIP Match", "Standard")</f>
        <v/>
      </c>
    </row>
    <row r="109">
      <c r="A109" s="16" t="inlineStr">
        <is>
          <t>TXN-2105</t>
        </is>
      </c>
      <c r="B109" s="16" t="inlineStr">
        <is>
          <t>2026-01-28</t>
        </is>
      </c>
      <c r="C109" s="10" t="inlineStr">
        <is>
          <t>Customer 042</t>
        </is>
      </c>
      <c r="D109" s="10" t="inlineStr">
        <is>
          <t>Wholesale</t>
        </is>
      </c>
      <c r="E109" s="10" t="inlineStr">
        <is>
          <t>East</t>
        </is>
      </c>
      <c r="F109" s="10" t="inlineStr">
        <is>
          <t>Enterprise Analytics Pro</t>
        </is>
      </c>
      <c r="G109" s="10">
        <f>UPPER(LEFT(F109, 3)) &amp; "-" &amp; TEXT(LEN(F109), "00")</f>
        <v/>
      </c>
      <c r="H109" s="10" t="n">
        <v>70</v>
      </c>
      <c r="I109" s="17" t="n">
        <v>189.21</v>
      </c>
      <c r="J109" s="17">
        <f>H109*I109</f>
        <v/>
      </c>
      <c r="K109" s="18" t="n">
        <v>0.15</v>
      </c>
      <c r="L109" s="17">
        <f>J109*K109</f>
        <v/>
      </c>
      <c r="M109" s="17">
        <f>J109-L109</f>
        <v/>
      </c>
      <c r="N109" s="17">
        <f>J109*0.56</f>
        <v/>
      </c>
      <c r="O109" s="17">
        <f>M109-N109</f>
        <v/>
      </c>
      <c r="P109" s="18">
        <f>O109/M109</f>
        <v/>
      </c>
      <c r="Q109" s="16" t="inlineStr">
        <is>
          <t>2026-01-28</t>
        </is>
      </c>
      <c r="R109" s="16" t="inlineStr">
        <is>
          <t>2026-02-06</t>
        </is>
      </c>
      <c r="S109" s="10">
        <f>DATEDIF(Q109, R109, "d")</f>
        <v/>
      </c>
      <c r="T109" s="19">
        <f>EOMONTH(Q109, 0)</f>
        <v/>
      </c>
      <c r="U109" s="20">
        <f>NOW()</f>
        <v/>
      </c>
      <c r="V109" s="10">
        <f>IF(ISNUMBER(MATCH(C109, $X$5:$X$18, 0)), "VIP Match", "Standard")</f>
        <v/>
      </c>
    </row>
    <row r="110">
      <c r="A110" s="16" t="inlineStr">
        <is>
          <t>TXN-2106</t>
        </is>
      </c>
      <c r="B110" s="16" t="inlineStr">
        <is>
          <t>2026-05-02</t>
        </is>
      </c>
      <c r="C110" s="10" t="inlineStr">
        <is>
          <t>Customer 030</t>
        </is>
      </c>
      <c r="D110" s="10" t="inlineStr">
        <is>
          <t>Retail</t>
        </is>
      </c>
      <c r="E110" s="10" t="inlineStr">
        <is>
          <t>South</t>
        </is>
      </c>
      <c r="F110" s="10" t="inlineStr">
        <is>
          <t>AI Insights Engine</t>
        </is>
      </c>
      <c r="G110" s="10">
        <f>UPPER(LEFT(F110, 3)) &amp; "-" &amp; TEXT(LEN(F110), "00")</f>
        <v/>
      </c>
      <c r="H110" s="10" t="n">
        <v>101</v>
      </c>
      <c r="I110" s="17" t="n">
        <v>421.57</v>
      </c>
      <c r="J110" s="17">
        <f>H110*I110</f>
        <v/>
      </c>
      <c r="K110" s="18" t="n">
        <v>0.15</v>
      </c>
      <c r="L110" s="17">
        <f>J110*K110</f>
        <v/>
      </c>
      <c r="M110" s="17">
        <f>J110-L110</f>
        <v/>
      </c>
      <c r="N110" s="17">
        <f>J110*0.53</f>
        <v/>
      </c>
      <c r="O110" s="17">
        <f>M110-N110</f>
        <v/>
      </c>
      <c r="P110" s="18">
        <f>O110/M110</f>
        <v/>
      </c>
      <c r="Q110" s="16" t="inlineStr">
        <is>
          <t>2026-05-02</t>
        </is>
      </c>
      <c r="R110" s="16" t="inlineStr">
        <is>
          <t>2026-05-12</t>
        </is>
      </c>
      <c r="S110" s="10">
        <f>DATEDIF(Q110, R110, "d")</f>
        <v/>
      </c>
      <c r="T110" s="19">
        <f>EOMONTH(Q110, 0)</f>
        <v/>
      </c>
      <c r="U110" s="20">
        <f>NOW()</f>
        <v/>
      </c>
      <c r="V110" s="10">
        <f>IF(ISNUMBER(MATCH(C110, $X$5:$X$18, 0)), "VIP Match", "Standard")</f>
        <v/>
      </c>
    </row>
    <row r="111">
      <c r="A111" s="16" t="inlineStr">
        <is>
          <t>TXN-2107</t>
        </is>
      </c>
      <c r="B111" s="16" t="inlineStr">
        <is>
          <t>2026-05-07</t>
        </is>
      </c>
      <c r="C111" s="10" t="inlineStr">
        <is>
          <t>Customer 038</t>
        </is>
      </c>
      <c r="D111" s="10" t="inlineStr">
        <is>
          <t>Enterprise</t>
        </is>
      </c>
      <c r="E111" s="10" t="inlineStr">
        <is>
          <t>Central</t>
        </is>
      </c>
      <c r="F111" s="10" t="inlineStr">
        <is>
          <t>AI Insights Engine</t>
        </is>
      </c>
      <c r="G111" s="10">
        <f>UPPER(LEFT(F111, 3)) &amp; "-" &amp; TEXT(LEN(F111), "00")</f>
        <v/>
      </c>
      <c r="H111" s="10" t="n">
        <v>87</v>
      </c>
      <c r="I111" s="17" t="n">
        <v>57.79</v>
      </c>
      <c r="J111" s="17">
        <f>H111*I111</f>
        <v/>
      </c>
      <c r="K111" s="18" t="n">
        <v>0.05</v>
      </c>
      <c r="L111" s="17">
        <f>J111*K111</f>
        <v/>
      </c>
      <c r="M111" s="17">
        <f>J111-L111</f>
        <v/>
      </c>
      <c r="N111" s="17">
        <f>J111*0.61</f>
        <v/>
      </c>
      <c r="O111" s="17">
        <f>M111-N111</f>
        <v/>
      </c>
      <c r="P111" s="18">
        <f>O111/M111</f>
        <v/>
      </c>
      <c r="Q111" s="16" t="inlineStr">
        <is>
          <t>2026-05-07</t>
        </is>
      </c>
      <c r="R111" s="16" t="inlineStr">
        <is>
          <t>2026-05-11</t>
        </is>
      </c>
      <c r="S111" s="10">
        <f>DATEDIF(Q111, R111, "d")</f>
        <v/>
      </c>
      <c r="T111" s="19">
        <f>EOMONTH(Q111, 0)</f>
        <v/>
      </c>
      <c r="U111" s="20">
        <f>NOW()</f>
        <v/>
      </c>
      <c r="V111" s="10">
        <f>IF(ISNUMBER(MATCH(C111, $X$5:$X$18, 0)), "VIP Match", "Standard")</f>
        <v/>
      </c>
    </row>
    <row r="112">
      <c r="A112" s="16" t="inlineStr">
        <is>
          <t>TXN-2108</t>
        </is>
      </c>
      <c r="B112" s="16" t="inlineStr">
        <is>
          <t>2026-02-06</t>
        </is>
      </c>
      <c r="C112" s="10" t="inlineStr">
        <is>
          <t>Customer 049</t>
        </is>
      </c>
      <c r="D112" s="10" t="inlineStr">
        <is>
          <t>Corporate</t>
        </is>
      </c>
      <c r="E112" s="10" t="inlineStr">
        <is>
          <t>East</t>
        </is>
      </c>
      <c r="F112" s="10" t="inlineStr">
        <is>
          <t>AI Insights Engine</t>
        </is>
      </c>
      <c r="G112" s="10">
        <f>UPPER(LEFT(F112, 3)) &amp; "-" &amp; TEXT(LEN(F112), "00")</f>
        <v/>
      </c>
      <c r="H112" s="10" t="n">
        <v>100</v>
      </c>
      <c r="I112" s="17" t="n">
        <v>245.89</v>
      </c>
      <c r="J112" s="17">
        <f>H112*I112</f>
        <v/>
      </c>
      <c r="K112" s="18" t="n">
        <v>0.1</v>
      </c>
      <c r="L112" s="17">
        <f>J112*K112</f>
        <v/>
      </c>
      <c r="M112" s="17">
        <f>J112-L112</f>
        <v/>
      </c>
      <c r="N112" s="17">
        <f>J112*0.54</f>
        <v/>
      </c>
      <c r="O112" s="17">
        <f>M112-N112</f>
        <v/>
      </c>
      <c r="P112" s="18">
        <f>O112/M112</f>
        <v/>
      </c>
      <c r="Q112" s="16" t="inlineStr">
        <is>
          <t>2026-02-06</t>
        </is>
      </c>
      <c r="R112" s="16" t="inlineStr">
        <is>
          <t>2026-02-10</t>
        </is>
      </c>
      <c r="S112" s="10">
        <f>DATEDIF(Q112, R112, "d")</f>
        <v/>
      </c>
      <c r="T112" s="19">
        <f>EOMONTH(Q112, 0)</f>
        <v/>
      </c>
      <c r="U112" s="20">
        <f>NOW()</f>
        <v/>
      </c>
      <c r="V112" s="10">
        <f>IF(ISNUMBER(MATCH(C112, $X$5:$X$18, 0)), "VIP Match", "Standard")</f>
        <v/>
      </c>
    </row>
    <row r="113">
      <c r="A113" s="16" t="inlineStr">
        <is>
          <t>TXN-2109</t>
        </is>
      </c>
      <c r="B113" s="16" t="inlineStr">
        <is>
          <t>2026-04-25</t>
        </is>
      </c>
      <c r="C113" s="10" t="inlineStr">
        <is>
          <t>Customer 047</t>
        </is>
      </c>
      <c r="D113" s="10" t="inlineStr">
        <is>
          <t>Retail</t>
        </is>
      </c>
      <c r="E113" s="10" t="inlineStr">
        <is>
          <t>South</t>
        </is>
      </c>
      <c r="F113" s="10" t="inlineStr">
        <is>
          <t>Enterprise Analytics Pro</t>
        </is>
      </c>
      <c r="G113" s="10">
        <f>UPPER(LEFT(F113, 3)) &amp; "-" &amp; TEXT(LEN(F113), "00")</f>
        <v/>
      </c>
      <c r="H113" s="10" t="n">
        <v>59</v>
      </c>
      <c r="I113" s="17" t="n">
        <v>437.77</v>
      </c>
      <c r="J113" s="17">
        <f>H113*I113</f>
        <v/>
      </c>
      <c r="K113" s="18" t="n">
        <v>0</v>
      </c>
      <c r="L113" s="17">
        <f>J113*K113</f>
        <v/>
      </c>
      <c r="M113" s="17">
        <f>J113-L113</f>
        <v/>
      </c>
      <c r="N113" s="17">
        <f>J113*0.55</f>
        <v/>
      </c>
      <c r="O113" s="17">
        <f>M113-N113</f>
        <v/>
      </c>
      <c r="P113" s="18">
        <f>O113/M113</f>
        <v/>
      </c>
      <c r="Q113" s="16" t="inlineStr">
        <is>
          <t>2026-04-25</t>
        </is>
      </c>
      <c r="R113" s="16" t="inlineStr">
        <is>
          <t>2026-05-03</t>
        </is>
      </c>
      <c r="S113" s="10">
        <f>DATEDIF(Q113, R113, "d")</f>
        <v/>
      </c>
      <c r="T113" s="19">
        <f>EOMONTH(Q113, 0)</f>
        <v/>
      </c>
      <c r="U113" s="20">
        <f>NOW()</f>
        <v/>
      </c>
      <c r="V113" s="10">
        <f>IF(ISNUMBER(MATCH(C113, $X$5:$X$18, 0)), "VIP Match", "Standard")</f>
        <v/>
      </c>
    </row>
    <row r="114">
      <c r="A114" s="16" t="inlineStr">
        <is>
          <t>TXN-2110</t>
        </is>
      </c>
      <c r="B114" s="16" t="inlineStr">
        <is>
          <t>2026-05-17</t>
        </is>
      </c>
      <c r="C114" s="10" t="inlineStr">
        <is>
          <t>Customer 039</t>
        </is>
      </c>
      <c r="D114" s="10" t="inlineStr">
        <is>
          <t>Enterprise</t>
        </is>
      </c>
      <c r="E114" s="10" t="inlineStr">
        <is>
          <t>East</t>
        </is>
      </c>
      <c r="F114" s="10" t="inlineStr">
        <is>
          <t>Data Vault Ultra</t>
        </is>
      </c>
      <c r="G114" s="10">
        <f>UPPER(LEFT(F114, 3)) &amp; "-" &amp; TEXT(LEN(F114), "00")</f>
        <v/>
      </c>
      <c r="H114" s="10" t="n">
        <v>51</v>
      </c>
      <c r="I114" s="17" t="n">
        <v>222.56</v>
      </c>
      <c r="J114" s="17">
        <f>H114*I114</f>
        <v/>
      </c>
      <c r="K114" s="18" t="n">
        <v>0.05</v>
      </c>
      <c r="L114" s="17">
        <f>J114*K114</f>
        <v/>
      </c>
      <c r="M114" s="17">
        <f>J114-L114</f>
        <v/>
      </c>
      <c r="N114" s="17">
        <f>J114*0.64</f>
        <v/>
      </c>
      <c r="O114" s="17">
        <f>M114-N114</f>
        <v/>
      </c>
      <c r="P114" s="18">
        <f>O114/M114</f>
        <v/>
      </c>
      <c r="Q114" s="16" t="inlineStr">
        <is>
          <t>2026-05-17</t>
        </is>
      </c>
      <c r="R114" s="16" t="inlineStr">
        <is>
          <t>2026-05-19</t>
        </is>
      </c>
      <c r="S114" s="10">
        <f>DATEDIF(Q114, R114, "d")</f>
        <v/>
      </c>
      <c r="T114" s="19">
        <f>EOMONTH(Q114, 0)</f>
        <v/>
      </c>
      <c r="U114" s="20">
        <f>NOW()</f>
        <v/>
      </c>
      <c r="V114" s="10">
        <f>IF(ISNUMBER(MATCH(C114, $X$5:$X$18, 0)), "VIP Match", "Standard")</f>
        <v/>
      </c>
    </row>
    <row r="115">
      <c r="A115" s="16" t="inlineStr">
        <is>
          <t>TXN-2111</t>
        </is>
      </c>
      <c r="B115" s="16" t="inlineStr">
        <is>
          <t>2026-06-03</t>
        </is>
      </c>
      <c r="C115" s="10" t="inlineStr">
        <is>
          <t>Customer 043</t>
        </is>
      </c>
      <c r="D115" s="10" t="inlineStr">
        <is>
          <t>Wholesale</t>
        </is>
      </c>
      <c r="E115" s="10" t="inlineStr">
        <is>
          <t>East</t>
        </is>
      </c>
      <c r="F115" s="10" t="inlineStr">
        <is>
          <t>Cloud Intelligence Suite</t>
        </is>
      </c>
      <c r="G115" s="10">
        <f>UPPER(LEFT(F115, 3)) &amp; "-" &amp; TEXT(LEN(F115), "00")</f>
        <v/>
      </c>
      <c r="H115" s="10" t="n">
        <v>65</v>
      </c>
      <c r="I115" s="17" t="n">
        <v>60.03</v>
      </c>
      <c r="J115" s="17">
        <f>H115*I115</f>
        <v/>
      </c>
      <c r="K115" s="18" t="n">
        <v>0</v>
      </c>
      <c r="L115" s="17">
        <f>J115*K115</f>
        <v/>
      </c>
      <c r="M115" s="17">
        <f>J115-L115</f>
        <v/>
      </c>
      <c r="N115" s="17">
        <f>J115*0.51</f>
        <v/>
      </c>
      <c r="O115" s="17">
        <f>M115-N115</f>
        <v/>
      </c>
      <c r="P115" s="18">
        <f>O115/M115</f>
        <v/>
      </c>
      <c r="Q115" s="16" t="inlineStr">
        <is>
          <t>2026-06-03</t>
        </is>
      </c>
      <c r="R115" s="16" t="inlineStr">
        <is>
          <t>2026-06-11</t>
        </is>
      </c>
      <c r="S115" s="10">
        <f>DATEDIF(Q115, R115, "d")</f>
        <v/>
      </c>
      <c r="T115" s="19">
        <f>EOMONTH(Q115, 0)</f>
        <v/>
      </c>
      <c r="U115" s="20">
        <f>NOW()</f>
        <v/>
      </c>
      <c r="V115" s="10">
        <f>IF(ISNUMBER(MATCH(C115, $X$5:$X$18, 0)), "VIP Match", "Standard")</f>
        <v/>
      </c>
    </row>
    <row r="116">
      <c r="A116" s="16" t="inlineStr">
        <is>
          <t>TXN-2112</t>
        </is>
      </c>
      <c r="B116" s="16" t="inlineStr">
        <is>
          <t>2026-01-22</t>
        </is>
      </c>
      <c r="C116" s="10" t="inlineStr">
        <is>
          <t>Customer 010</t>
        </is>
      </c>
      <c r="D116" s="10" t="inlineStr">
        <is>
          <t>Corporate</t>
        </is>
      </c>
      <c r="E116" s="10" t="inlineStr">
        <is>
          <t>North</t>
        </is>
      </c>
      <c r="F116" s="10" t="inlineStr">
        <is>
          <t>Enterprise Analytics Pro</t>
        </is>
      </c>
      <c r="G116" s="10">
        <f>UPPER(LEFT(F116, 3)) &amp; "-" &amp; TEXT(LEN(F116), "00")</f>
        <v/>
      </c>
      <c r="H116" s="10" t="n">
        <v>70</v>
      </c>
      <c r="I116" s="17" t="n">
        <v>123.94</v>
      </c>
      <c r="J116" s="17">
        <f>H116*I116</f>
        <v/>
      </c>
      <c r="K116" s="18" t="n">
        <v>0.05</v>
      </c>
      <c r="L116" s="17">
        <f>J116*K116</f>
        <v/>
      </c>
      <c r="M116" s="17">
        <f>J116-L116</f>
        <v/>
      </c>
      <c r="N116" s="17">
        <f>J116*0.56</f>
        <v/>
      </c>
      <c r="O116" s="17">
        <f>M116-N116</f>
        <v/>
      </c>
      <c r="P116" s="18">
        <f>O116/M116</f>
        <v/>
      </c>
      <c r="Q116" s="16" t="inlineStr">
        <is>
          <t>2026-01-22</t>
        </is>
      </c>
      <c r="R116" s="16" t="inlineStr">
        <is>
          <t>2026-01-28</t>
        </is>
      </c>
      <c r="S116" s="10">
        <f>DATEDIF(Q116, R116, "d")</f>
        <v/>
      </c>
      <c r="T116" s="19">
        <f>EOMONTH(Q116, 0)</f>
        <v/>
      </c>
      <c r="U116" s="20">
        <f>NOW()</f>
        <v/>
      </c>
      <c r="V116" s="10">
        <f>IF(ISNUMBER(MATCH(C116, $X$5:$X$18, 0)), "VIP Match", "Standard")</f>
        <v/>
      </c>
    </row>
    <row r="117">
      <c r="A117" s="16" t="inlineStr">
        <is>
          <t>TXN-2113</t>
        </is>
      </c>
      <c r="B117" s="16" t="inlineStr">
        <is>
          <t>2026-01-17</t>
        </is>
      </c>
      <c r="C117" s="10" t="inlineStr">
        <is>
          <t>Customer 041</t>
        </is>
      </c>
      <c r="D117" s="10" t="inlineStr">
        <is>
          <t>Corporate</t>
        </is>
      </c>
      <c r="E117" s="10" t="inlineStr">
        <is>
          <t>East</t>
        </is>
      </c>
      <c r="F117" s="10" t="inlineStr">
        <is>
          <t>Enterprise Analytics Pro</t>
        </is>
      </c>
      <c r="G117" s="10">
        <f>UPPER(LEFT(F117, 3)) &amp; "-" &amp; TEXT(LEN(F117), "00")</f>
        <v/>
      </c>
      <c r="H117" s="10" t="n">
        <v>68</v>
      </c>
      <c r="I117" s="17" t="n">
        <v>88.77</v>
      </c>
      <c r="J117" s="17">
        <f>H117*I117</f>
        <v/>
      </c>
      <c r="K117" s="18" t="n">
        <v>0.2</v>
      </c>
      <c r="L117" s="17">
        <f>J117*K117</f>
        <v/>
      </c>
      <c r="M117" s="17">
        <f>J117-L117</f>
        <v/>
      </c>
      <c r="N117" s="17">
        <f>J117*0.51</f>
        <v/>
      </c>
      <c r="O117" s="17">
        <f>M117-N117</f>
        <v/>
      </c>
      <c r="P117" s="18">
        <f>O117/M117</f>
        <v/>
      </c>
      <c r="Q117" s="16" t="inlineStr">
        <is>
          <t>2026-01-17</t>
        </is>
      </c>
      <c r="R117" s="16" t="inlineStr">
        <is>
          <t>2026-01-19</t>
        </is>
      </c>
      <c r="S117" s="10">
        <f>DATEDIF(Q117, R117, "d")</f>
        <v/>
      </c>
      <c r="T117" s="19">
        <f>EOMONTH(Q117, 0)</f>
        <v/>
      </c>
      <c r="U117" s="20">
        <f>NOW()</f>
        <v/>
      </c>
      <c r="V117" s="10">
        <f>IF(ISNUMBER(MATCH(C117, $X$5:$X$18, 0)), "VIP Match", "Standard")</f>
        <v/>
      </c>
    </row>
    <row r="118">
      <c r="A118" s="16" t="inlineStr">
        <is>
          <t>TXN-2114</t>
        </is>
      </c>
      <c r="B118" s="16" t="inlineStr">
        <is>
          <t>2026-01-27</t>
        </is>
      </c>
      <c r="C118" s="10" t="inlineStr">
        <is>
          <t>Customer 039</t>
        </is>
      </c>
      <c r="D118" s="10" t="inlineStr">
        <is>
          <t>Wholesale</t>
        </is>
      </c>
      <c r="E118" s="10" t="inlineStr">
        <is>
          <t>South</t>
        </is>
      </c>
      <c r="F118" s="10" t="inlineStr">
        <is>
          <t>Enterprise Analytics Pro</t>
        </is>
      </c>
      <c r="G118" s="10">
        <f>UPPER(LEFT(F118, 3)) &amp; "-" &amp; TEXT(LEN(F118), "00")</f>
        <v/>
      </c>
      <c r="H118" s="10" t="n">
        <v>65</v>
      </c>
      <c r="I118" s="17" t="n">
        <v>439.23</v>
      </c>
      <c r="J118" s="17">
        <f>H118*I118</f>
        <v/>
      </c>
      <c r="K118" s="18" t="n">
        <v>0</v>
      </c>
      <c r="L118" s="17">
        <f>J118*K118</f>
        <v/>
      </c>
      <c r="M118" s="17">
        <f>J118-L118</f>
        <v/>
      </c>
      <c r="N118" s="17">
        <f>J118*0.45</f>
        <v/>
      </c>
      <c r="O118" s="17">
        <f>M118-N118</f>
        <v/>
      </c>
      <c r="P118" s="18">
        <f>O118/M118</f>
        <v/>
      </c>
      <c r="Q118" s="16" t="inlineStr">
        <is>
          <t>2026-01-27</t>
        </is>
      </c>
      <c r="R118" s="16" t="inlineStr">
        <is>
          <t>2026-02-08</t>
        </is>
      </c>
      <c r="S118" s="10">
        <f>DATEDIF(Q118, R118, "d")</f>
        <v/>
      </c>
      <c r="T118" s="19">
        <f>EOMONTH(Q118, 0)</f>
        <v/>
      </c>
      <c r="U118" s="20">
        <f>NOW()</f>
        <v/>
      </c>
      <c r="V118" s="10">
        <f>IF(ISNUMBER(MATCH(C118, $X$5:$X$18, 0)), "VIP Match", "Standard")</f>
        <v/>
      </c>
    </row>
    <row r="119">
      <c r="A119" s="16" t="inlineStr">
        <is>
          <t>TXN-2115</t>
        </is>
      </c>
      <c r="B119" s="16" t="inlineStr">
        <is>
          <t>2026-03-06</t>
        </is>
      </c>
      <c r="C119" s="10" t="inlineStr">
        <is>
          <t>Customer 046</t>
        </is>
      </c>
      <c r="D119" s="10" t="inlineStr">
        <is>
          <t>Enterprise</t>
        </is>
      </c>
      <c r="E119" s="10" t="inlineStr">
        <is>
          <t>East</t>
        </is>
      </c>
      <c r="F119" s="10" t="inlineStr">
        <is>
          <t>Cloud Intelligence Suite</t>
        </is>
      </c>
      <c r="G119" s="10">
        <f>UPPER(LEFT(F119, 3)) &amp; "-" &amp; TEXT(LEN(F119), "00")</f>
        <v/>
      </c>
      <c r="H119" s="10" t="n">
        <v>28</v>
      </c>
      <c r="I119" s="17" t="n">
        <v>218.57</v>
      </c>
      <c r="J119" s="17">
        <f>H119*I119</f>
        <v/>
      </c>
      <c r="K119" s="18" t="n">
        <v>0</v>
      </c>
      <c r="L119" s="17">
        <f>J119*K119</f>
        <v/>
      </c>
      <c r="M119" s="17">
        <f>J119-L119</f>
        <v/>
      </c>
      <c r="N119" s="17">
        <f>J119*0.47</f>
        <v/>
      </c>
      <c r="O119" s="17">
        <f>M119-N119</f>
        <v/>
      </c>
      <c r="P119" s="18">
        <f>O119/M119</f>
        <v/>
      </c>
      <c r="Q119" s="16" t="inlineStr">
        <is>
          <t>2026-03-06</t>
        </is>
      </c>
      <c r="R119" s="16" t="inlineStr">
        <is>
          <t>2026-03-16</t>
        </is>
      </c>
      <c r="S119" s="10">
        <f>DATEDIF(Q119, R119, "d")</f>
        <v/>
      </c>
      <c r="T119" s="19">
        <f>EOMONTH(Q119, 0)</f>
        <v/>
      </c>
      <c r="U119" s="20">
        <f>NOW()</f>
        <v/>
      </c>
      <c r="V119" s="10">
        <f>IF(ISNUMBER(MATCH(C119, $X$5:$X$18, 0)), "VIP Match", "Standard")</f>
        <v/>
      </c>
    </row>
    <row r="120">
      <c r="A120" s="16" t="inlineStr">
        <is>
          <t>TXN-2116</t>
        </is>
      </c>
      <c r="B120" s="16" t="inlineStr">
        <is>
          <t>2026-05-12</t>
        </is>
      </c>
      <c r="C120" s="10" t="inlineStr">
        <is>
          <t>Customer 024</t>
        </is>
      </c>
      <c r="D120" s="10" t="inlineStr">
        <is>
          <t>Retail</t>
        </is>
      </c>
      <c r="E120" s="10" t="inlineStr">
        <is>
          <t>South</t>
        </is>
      </c>
      <c r="F120" s="10" t="inlineStr">
        <is>
          <t>Enterprise Analytics Pro</t>
        </is>
      </c>
      <c r="G120" s="10">
        <f>UPPER(LEFT(F120, 3)) &amp; "-" &amp; TEXT(LEN(F120), "00")</f>
        <v/>
      </c>
      <c r="H120" s="10" t="n">
        <v>42</v>
      </c>
      <c r="I120" s="17" t="n">
        <v>249.46</v>
      </c>
      <c r="J120" s="17">
        <f>H120*I120</f>
        <v/>
      </c>
      <c r="K120" s="18" t="n">
        <v>0.05</v>
      </c>
      <c r="L120" s="17">
        <f>J120*K120</f>
        <v/>
      </c>
      <c r="M120" s="17">
        <f>J120-L120</f>
        <v/>
      </c>
      <c r="N120" s="17">
        <f>J120*0.58</f>
        <v/>
      </c>
      <c r="O120" s="17">
        <f>M120-N120</f>
        <v/>
      </c>
      <c r="P120" s="18">
        <f>O120/M120</f>
        <v/>
      </c>
      <c r="Q120" s="16" t="inlineStr">
        <is>
          <t>2026-05-12</t>
        </is>
      </c>
      <c r="R120" s="16" t="inlineStr">
        <is>
          <t>2026-05-20</t>
        </is>
      </c>
      <c r="S120" s="10">
        <f>DATEDIF(Q120, R120, "d")</f>
        <v/>
      </c>
      <c r="T120" s="19">
        <f>EOMONTH(Q120, 0)</f>
        <v/>
      </c>
      <c r="U120" s="20">
        <f>NOW()</f>
        <v/>
      </c>
      <c r="V120" s="10">
        <f>IF(ISNUMBER(MATCH(C120, $X$5:$X$18, 0)), "VIP Match", "Standard")</f>
        <v/>
      </c>
    </row>
    <row r="121">
      <c r="A121" s="16" t="inlineStr">
        <is>
          <t>TXN-2117</t>
        </is>
      </c>
      <c r="B121" s="16" t="inlineStr">
        <is>
          <t>2026-01-05</t>
        </is>
      </c>
      <c r="C121" s="10" t="inlineStr">
        <is>
          <t>Customer 024</t>
        </is>
      </c>
      <c r="D121" s="10" t="inlineStr">
        <is>
          <t>Corporate</t>
        </is>
      </c>
      <c r="E121" s="10" t="inlineStr">
        <is>
          <t>West</t>
        </is>
      </c>
      <c r="F121" s="10" t="inlineStr">
        <is>
          <t>Data Vault Ultra</t>
        </is>
      </c>
      <c r="G121" s="10">
        <f>UPPER(LEFT(F121, 3)) &amp; "-" &amp; TEXT(LEN(F121), "00")</f>
        <v/>
      </c>
      <c r="H121" s="10" t="n">
        <v>58</v>
      </c>
      <c r="I121" s="17" t="n">
        <v>125.79</v>
      </c>
      <c r="J121" s="17">
        <f>H121*I121</f>
        <v/>
      </c>
      <c r="K121" s="18" t="n">
        <v>0</v>
      </c>
      <c r="L121" s="17">
        <f>J121*K121</f>
        <v/>
      </c>
      <c r="M121" s="17">
        <f>J121-L121</f>
        <v/>
      </c>
      <c r="N121" s="17">
        <f>J121*0.48</f>
        <v/>
      </c>
      <c r="O121" s="17">
        <f>M121-N121</f>
        <v/>
      </c>
      <c r="P121" s="18">
        <f>O121/M121</f>
        <v/>
      </c>
      <c r="Q121" s="16" t="inlineStr">
        <is>
          <t>2026-01-05</t>
        </is>
      </c>
      <c r="R121" s="16" t="inlineStr">
        <is>
          <t>2026-01-09</t>
        </is>
      </c>
      <c r="S121" s="10">
        <f>DATEDIF(Q121, R121, "d")</f>
        <v/>
      </c>
      <c r="T121" s="19">
        <f>EOMONTH(Q121, 0)</f>
        <v/>
      </c>
      <c r="U121" s="20">
        <f>NOW()</f>
        <v/>
      </c>
      <c r="V121" s="10">
        <f>IF(ISNUMBER(MATCH(C121, $X$5:$X$18, 0)), "VIP Match", "Standard")</f>
        <v/>
      </c>
    </row>
    <row r="122">
      <c r="A122" s="16" t="inlineStr">
        <is>
          <t>TXN-2118</t>
        </is>
      </c>
      <c r="B122" s="16" t="inlineStr">
        <is>
          <t>2026-03-13</t>
        </is>
      </c>
      <c r="C122" s="10" t="inlineStr">
        <is>
          <t>Customer 043</t>
        </is>
      </c>
      <c r="D122" s="10" t="inlineStr">
        <is>
          <t>Retail</t>
        </is>
      </c>
      <c r="E122" s="10" t="inlineStr">
        <is>
          <t>East</t>
        </is>
      </c>
      <c r="F122" s="10" t="inlineStr">
        <is>
          <t>Smart Metrics Dashboard</t>
        </is>
      </c>
      <c r="G122" s="10">
        <f>UPPER(LEFT(F122, 3)) &amp; "-" &amp; TEXT(LEN(F122), "00")</f>
        <v/>
      </c>
      <c r="H122" s="10" t="n">
        <v>108</v>
      </c>
      <c r="I122" s="17" t="n">
        <v>126.62</v>
      </c>
      <c r="J122" s="17">
        <f>H122*I122</f>
        <v/>
      </c>
      <c r="K122" s="18" t="n">
        <v>0.05</v>
      </c>
      <c r="L122" s="17">
        <f>J122*K122</f>
        <v/>
      </c>
      <c r="M122" s="17">
        <f>J122-L122</f>
        <v/>
      </c>
      <c r="N122" s="17">
        <f>J122*0.52</f>
        <v/>
      </c>
      <c r="O122" s="17">
        <f>M122-N122</f>
        <v/>
      </c>
      <c r="P122" s="18">
        <f>O122/M122</f>
        <v/>
      </c>
      <c r="Q122" s="16" t="inlineStr">
        <is>
          <t>2026-03-13</t>
        </is>
      </c>
      <c r="R122" s="16" t="inlineStr">
        <is>
          <t>2026-03-23</t>
        </is>
      </c>
      <c r="S122" s="10">
        <f>DATEDIF(Q122, R122, "d")</f>
        <v/>
      </c>
      <c r="T122" s="19">
        <f>EOMONTH(Q122, 0)</f>
        <v/>
      </c>
      <c r="U122" s="20">
        <f>NOW()</f>
        <v/>
      </c>
      <c r="V122" s="10">
        <f>IF(ISNUMBER(MATCH(C122, $X$5:$X$18, 0)), "VIP Match", "Standard")</f>
        <v/>
      </c>
    </row>
    <row r="123">
      <c r="A123" s="16" t="inlineStr">
        <is>
          <t>TXN-2119</t>
        </is>
      </c>
      <c r="B123" s="16" t="inlineStr">
        <is>
          <t>2026-01-15</t>
        </is>
      </c>
      <c r="C123" s="10" t="inlineStr">
        <is>
          <t>Customer 025</t>
        </is>
      </c>
      <c r="D123" s="10" t="inlineStr">
        <is>
          <t>Retail</t>
        </is>
      </c>
      <c r="E123" s="10" t="inlineStr">
        <is>
          <t>Central</t>
        </is>
      </c>
      <c r="F123" s="10" t="inlineStr">
        <is>
          <t>Enterprise Analytics Pro</t>
        </is>
      </c>
      <c r="G123" s="10">
        <f>UPPER(LEFT(F123, 3)) &amp; "-" &amp; TEXT(LEN(F123), "00")</f>
        <v/>
      </c>
      <c r="H123" s="10" t="n">
        <v>30</v>
      </c>
      <c r="I123" s="17" t="n">
        <v>298.2</v>
      </c>
      <c r="J123" s="17">
        <f>H123*I123</f>
        <v/>
      </c>
      <c r="K123" s="18" t="n">
        <v>0.1</v>
      </c>
      <c r="L123" s="17">
        <f>J123*K123</f>
        <v/>
      </c>
      <c r="M123" s="17">
        <f>J123-L123</f>
        <v/>
      </c>
      <c r="N123" s="17">
        <f>J123*0.52</f>
        <v/>
      </c>
      <c r="O123" s="17">
        <f>M123-N123</f>
        <v/>
      </c>
      <c r="P123" s="18">
        <f>O123/M123</f>
        <v/>
      </c>
      <c r="Q123" s="16" t="inlineStr">
        <is>
          <t>2026-01-15</t>
        </is>
      </c>
      <c r="R123" s="16" t="inlineStr">
        <is>
          <t>2026-01-20</t>
        </is>
      </c>
      <c r="S123" s="10">
        <f>DATEDIF(Q123, R123, "d")</f>
        <v/>
      </c>
      <c r="T123" s="19">
        <f>EOMONTH(Q123, 0)</f>
        <v/>
      </c>
      <c r="U123" s="20">
        <f>NOW()</f>
        <v/>
      </c>
      <c r="V123" s="10">
        <f>IF(ISNUMBER(MATCH(C123, $X$5:$X$18, 0)), "VIP Match", "Standard")</f>
        <v/>
      </c>
    </row>
    <row r="124">
      <c r="A124" s="16" t="inlineStr">
        <is>
          <t>TXN-2120</t>
        </is>
      </c>
      <c r="B124" s="16" t="inlineStr">
        <is>
          <t>2026-05-28</t>
        </is>
      </c>
      <c r="C124" s="10" t="inlineStr">
        <is>
          <t>Customer 030</t>
        </is>
      </c>
      <c r="D124" s="10" t="inlineStr">
        <is>
          <t>Corporate</t>
        </is>
      </c>
      <c r="E124" s="10" t="inlineStr">
        <is>
          <t>East</t>
        </is>
      </c>
      <c r="F124" s="10" t="inlineStr">
        <is>
          <t>Cloud Intelligence Suite</t>
        </is>
      </c>
      <c r="G124" s="10">
        <f>UPPER(LEFT(F124, 3)) &amp; "-" &amp; TEXT(LEN(F124), "00")</f>
        <v/>
      </c>
      <c r="H124" s="10" t="n">
        <v>58</v>
      </c>
      <c r="I124" s="17" t="n">
        <v>482.9</v>
      </c>
      <c r="J124" s="17">
        <f>H124*I124</f>
        <v/>
      </c>
      <c r="K124" s="18" t="n">
        <v>0.05</v>
      </c>
      <c r="L124" s="17">
        <f>J124*K124</f>
        <v/>
      </c>
      <c r="M124" s="17">
        <f>J124-L124</f>
        <v/>
      </c>
      <c r="N124" s="17">
        <f>J124*0.59</f>
        <v/>
      </c>
      <c r="O124" s="17">
        <f>M124-N124</f>
        <v/>
      </c>
      <c r="P124" s="18">
        <f>O124/M124</f>
        <v/>
      </c>
      <c r="Q124" s="16" t="inlineStr">
        <is>
          <t>2026-05-28</t>
        </is>
      </c>
      <c r="R124" s="16" t="inlineStr">
        <is>
          <t>2026-05-30</t>
        </is>
      </c>
      <c r="S124" s="10">
        <f>DATEDIF(Q124, R124, "d")</f>
        <v/>
      </c>
      <c r="T124" s="19">
        <f>EOMONTH(Q124, 0)</f>
        <v/>
      </c>
      <c r="U124" s="20">
        <f>NOW()</f>
        <v/>
      </c>
      <c r="V124" s="10">
        <f>IF(ISNUMBER(MATCH(C124, $X$5:$X$18, 0)), "VIP Match", "Standard")</f>
        <v/>
      </c>
    </row>
    <row r="125">
      <c r="A125" s="16" t="inlineStr">
        <is>
          <t>TXN-2121</t>
        </is>
      </c>
      <c r="B125" s="16" t="inlineStr">
        <is>
          <t>2026-05-05</t>
        </is>
      </c>
      <c r="C125" s="10" t="inlineStr">
        <is>
          <t>Customer 006</t>
        </is>
      </c>
      <c r="D125" s="10" t="inlineStr">
        <is>
          <t>Enterprise</t>
        </is>
      </c>
      <c r="E125" s="10" t="inlineStr">
        <is>
          <t>Central</t>
        </is>
      </c>
      <c r="F125" s="10" t="inlineStr">
        <is>
          <t>Enterprise Analytics Pro</t>
        </is>
      </c>
      <c r="G125" s="10">
        <f>UPPER(LEFT(F125, 3)) &amp; "-" &amp; TEXT(LEN(F125), "00")</f>
        <v/>
      </c>
      <c r="H125" s="10" t="n">
        <v>67</v>
      </c>
      <c r="I125" s="17" t="n">
        <v>148.59</v>
      </c>
      <c r="J125" s="17">
        <f>H125*I125</f>
        <v/>
      </c>
      <c r="K125" s="18" t="n">
        <v>0.15</v>
      </c>
      <c r="L125" s="17">
        <f>J125*K125</f>
        <v/>
      </c>
      <c r="M125" s="17">
        <f>J125-L125</f>
        <v/>
      </c>
      <c r="N125" s="17">
        <f>J125*0.46</f>
        <v/>
      </c>
      <c r="O125" s="17">
        <f>M125-N125</f>
        <v/>
      </c>
      <c r="P125" s="18">
        <f>O125/M125</f>
        <v/>
      </c>
      <c r="Q125" s="16" t="inlineStr">
        <is>
          <t>2026-05-05</t>
        </is>
      </c>
      <c r="R125" s="16" t="inlineStr">
        <is>
          <t>2026-05-13</t>
        </is>
      </c>
      <c r="S125" s="10">
        <f>DATEDIF(Q125, R125, "d")</f>
        <v/>
      </c>
      <c r="T125" s="19">
        <f>EOMONTH(Q125, 0)</f>
        <v/>
      </c>
      <c r="U125" s="20">
        <f>NOW()</f>
        <v/>
      </c>
      <c r="V125" s="10">
        <f>IF(ISNUMBER(MATCH(C125, $X$5:$X$18, 0)), "VIP Match", "Standard")</f>
        <v/>
      </c>
    </row>
    <row r="126">
      <c r="A126" s="16" t="inlineStr">
        <is>
          <t>TXN-2122</t>
        </is>
      </c>
      <c r="B126" s="16" t="inlineStr">
        <is>
          <t>2026-05-22</t>
        </is>
      </c>
      <c r="C126" s="10" t="inlineStr">
        <is>
          <t>Customer 027</t>
        </is>
      </c>
      <c r="D126" s="10" t="inlineStr">
        <is>
          <t>Wholesale</t>
        </is>
      </c>
      <c r="E126" s="10" t="inlineStr">
        <is>
          <t>West</t>
        </is>
      </c>
      <c r="F126" s="10" t="inlineStr">
        <is>
          <t>Enterprise Analytics Pro</t>
        </is>
      </c>
      <c r="G126" s="10">
        <f>UPPER(LEFT(F126, 3)) &amp; "-" &amp; TEXT(LEN(F126), "00")</f>
        <v/>
      </c>
      <c r="H126" s="10" t="n">
        <v>34</v>
      </c>
      <c r="I126" s="17" t="n">
        <v>112.15</v>
      </c>
      <c r="J126" s="17">
        <f>H126*I126</f>
        <v/>
      </c>
      <c r="K126" s="18" t="n">
        <v>0.05</v>
      </c>
      <c r="L126" s="17">
        <f>J126*K126</f>
        <v/>
      </c>
      <c r="M126" s="17">
        <f>J126-L126</f>
        <v/>
      </c>
      <c r="N126" s="17">
        <f>J126*0.65</f>
        <v/>
      </c>
      <c r="O126" s="17">
        <f>M126-N126</f>
        <v/>
      </c>
      <c r="P126" s="18">
        <f>O126/M126</f>
        <v/>
      </c>
      <c r="Q126" s="16" t="inlineStr">
        <is>
          <t>2026-05-22</t>
        </is>
      </c>
      <c r="R126" s="16" t="inlineStr">
        <is>
          <t>2026-05-28</t>
        </is>
      </c>
      <c r="S126" s="10">
        <f>DATEDIF(Q126, R126, "d")</f>
        <v/>
      </c>
      <c r="T126" s="19">
        <f>EOMONTH(Q126, 0)</f>
        <v/>
      </c>
      <c r="U126" s="20">
        <f>NOW()</f>
        <v/>
      </c>
      <c r="V126" s="10">
        <f>IF(ISNUMBER(MATCH(C126, $X$5:$X$18, 0)), "VIP Match", "Standard")</f>
        <v/>
      </c>
    </row>
    <row r="127">
      <c r="A127" s="16" t="inlineStr">
        <is>
          <t>TXN-2123</t>
        </is>
      </c>
      <c r="B127" s="16" t="inlineStr">
        <is>
          <t>2026-05-06</t>
        </is>
      </c>
      <c r="C127" s="10" t="inlineStr">
        <is>
          <t>Customer 015</t>
        </is>
      </c>
      <c r="D127" s="10" t="inlineStr">
        <is>
          <t>Retail</t>
        </is>
      </c>
      <c r="E127" s="10" t="inlineStr">
        <is>
          <t>East</t>
        </is>
      </c>
      <c r="F127" s="10" t="inlineStr">
        <is>
          <t>Enterprise Analytics Pro</t>
        </is>
      </c>
      <c r="G127" s="10">
        <f>UPPER(LEFT(F127, 3)) &amp; "-" &amp; TEXT(LEN(F127), "00")</f>
        <v/>
      </c>
      <c r="H127" s="10" t="n">
        <v>55</v>
      </c>
      <c r="I127" s="17" t="n">
        <v>319.7</v>
      </c>
      <c r="J127" s="17">
        <f>H127*I127</f>
        <v/>
      </c>
      <c r="K127" s="18" t="n">
        <v>0.15</v>
      </c>
      <c r="L127" s="17">
        <f>J127*K127</f>
        <v/>
      </c>
      <c r="M127" s="17">
        <f>J127-L127</f>
        <v/>
      </c>
      <c r="N127" s="17">
        <f>J127*0.57</f>
        <v/>
      </c>
      <c r="O127" s="17">
        <f>M127-N127</f>
        <v/>
      </c>
      <c r="P127" s="18">
        <f>O127/M127</f>
        <v/>
      </c>
      <c r="Q127" s="16" t="inlineStr">
        <is>
          <t>2026-05-06</t>
        </is>
      </c>
      <c r="R127" s="16" t="inlineStr">
        <is>
          <t>2026-05-09</t>
        </is>
      </c>
      <c r="S127" s="10">
        <f>DATEDIF(Q127, R127, "d")</f>
        <v/>
      </c>
      <c r="T127" s="19">
        <f>EOMONTH(Q127, 0)</f>
        <v/>
      </c>
      <c r="U127" s="20">
        <f>NOW()</f>
        <v/>
      </c>
      <c r="V127" s="10">
        <f>IF(ISNUMBER(MATCH(C127, $X$5:$X$18, 0)), "VIP Match", "Standard")</f>
        <v/>
      </c>
    </row>
    <row r="128">
      <c r="A128" s="16" t="inlineStr">
        <is>
          <t>TXN-2124</t>
        </is>
      </c>
      <c r="B128" s="16" t="inlineStr">
        <is>
          <t>2026-02-21</t>
        </is>
      </c>
      <c r="C128" s="10" t="inlineStr">
        <is>
          <t>Customer 003</t>
        </is>
      </c>
      <c r="D128" s="10" t="inlineStr">
        <is>
          <t>Wholesale</t>
        </is>
      </c>
      <c r="E128" s="10" t="inlineStr">
        <is>
          <t>South</t>
        </is>
      </c>
      <c r="F128" s="10" t="inlineStr">
        <is>
          <t>AI Insights Engine</t>
        </is>
      </c>
      <c r="G128" s="10">
        <f>UPPER(LEFT(F128, 3)) &amp; "-" &amp; TEXT(LEN(F128), "00")</f>
        <v/>
      </c>
      <c r="H128" s="10" t="n">
        <v>6</v>
      </c>
      <c r="I128" s="17" t="n">
        <v>141.07</v>
      </c>
      <c r="J128" s="17">
        <f>H128*I128</f>
        <v/>
      </c>
      <c r="K128" s="18" t="n">
        <v>0.2</v>
      </c>
      <c r="L128" s="17">
        <f>J128*K128</f>
        <v/>
      </c>
      <c r="M128" s="17">
        <f>J128-L128</f>
        <v/>
      </c>
      <c r="N128" s="17">
        <f>J128*0.62</f>
        <v/>
      </c>
      <c r="O128" s="17">
        <f>M128-N128</f>
        <v/>
      </c>
      <c r="P128" s="18">
        <f>O128/M128</f>
        <v/>
      </c>
      <c r="Q128" s="16" t="inlineStr">
        <is>
          <t>2026-02-21</t>
        </is>
      </c>
      <c r="R128" s="16" t="inlineStr">
        <is>
          <t>2026-02-23</t>
        </is>
      </c>
      <c r="S128" s="10">
        <f>DATEDIF(Q128, R128, "d")</f>
        <v/>
      </c>
      <c r="T128" s="19">
        <f>EOMONTH(Q128, 0)</f>
        <v/>
      </c>
      <c r="U128" s="20">
        <f>NOW()</f>
        <v/>
      </c>
      <c r="V128" s="10">
        <f>IF(ISNUMBER(MATCH(C128, $X$5:$X$18, 0)), "VIP Match", "Standard")</f>
        <v/>
      </c>
    </row>
    <row r="129">
      <c r="A129" s="16" t="inlineStr">
        <is>
          <t>TXN-2125</t>
        </is>
      </c>
      <c r="B129" s="16" t="inlineStr">
        <is>
          <t>2026-05-09</t>
        </is>
      </c>
      <c r="C129" s="10" t="inlineStr">
        <is>
          <t>Customer 013</t>
        </is>
      </c>
      <c r="D129" s="10" t="inlineStr">
        <is>
          <t>Retail</t>
        </is>
      </c>
      <c r="E129" s="10" t="inlineStr">
        <is>
          <t>West</t>
        </is>
      </c>
      <c r="F129" s="10" t="inlineStr">
        <is>
          <t>AI Insights Engine</t>
        </is>
      </c>
      <c r="G129" s="10">
        <f>UPPER(LEFT(F129, 3)) &amp; "-" &amp; TEXT(LEN(F129), "00")</f>
        <v/>
      </c>
      <c r="H129" s="10" t="n">
        <v>66</v>
      </c>
      <c r="I129" s="17" t="n">
        <v>160.09</v>
      </c>
      <c r="J129" s="17">
        <f>H129*I129</f>
        <v/>
      </c>
      <c r="K129" s="18" t="n">
        <v>0.15</v>
      </c>
      <c r="L129" s="17">
        <f>J129*K129</f>
        <v/>
      </c>
      <c r="M129" s="17">
        <f>J129-L129</f>
        <v/>
      </c>
      <c r="N129" s="17">
        <f>J129*0.54</f>
        <v/>
      </c>
      <c r="O129" s="17">
        <f>M129-N129</f>
        <v/>
      </c>
      <c r="P129" s="18">
        <f>O129/M129</f>
        <v/>
      </c>
      <c r="Q129" s="16" t="inlineStr">
        <is>
          <t>2026-05-09</t>
        </is>
      </c>
      <c r="R129" s="16" t="inlineStr">
        <is>
          <t>2026-05-20</t>
        </is>
      </c>
      <c r="S129" s="10">
        <f>DATEDIF(Q129, R129, "d")</f>
        <v/>
      </c>
      <c r="T129" s="19">
        <f>EOMONTH(Q129, 0)</f>
        <v/>
      </c>
      <c r="U129" s="20">
        <f>NOW()</f>
        <v/>
      </c>
      <c r="V129" s="10">
        <f>IF(ISNUMBER(MATCH(C129, $X$5:$X$18, 0)), "VIP Match", "Standard")</f>
        <v/>
      </c>
    </row>
    <row r="130">
      <c r="A130" s="16" t="inlineStr">
        <is>
          <t>TXN-2126</t>
        </is>
      </c>
      <c r="B130" s="16" t="inlineStr">
        <is>
          <t>2026-01-22</t>
        </is>
      </c>
      <c r="C130" s="10" t="inlineStr">
        <is>
          <t>Customer 025</t>
        </is>
      </c>
      <c r="D130" s="10" t="inlineStr">
        <is>
          <t>Corporate</t>
        </is>
      </c>
      <c r="E130" s="10" t="inlineStr">
        <is>
          <t>West</t>
        </is>
      </c>
      <c r="F130" s="10" t="inlineStr">
        <is>
          <t>AI Insights Engine</t>
        </is>
      </c>
      <c r="G130" s="10">
        <f>UPPER(LEFT(F130, 3)) &amp; "-" &amp; TEXT(LEN(F130), "00")</f>
        <v/>
      </c>
      <c r="H130" s="10" t="n">
        <v>28</v>
      </c>
      <c r="I130" s="17" t="n">
        <v>308.25</v>
      </c>
      <c r="J130" s="17">
        <f>H130*I130</f>
        <v/>
      </c>
      <c r="K130" s="18" t="n">
        <v>0.15</v>
      </c>
      <c r="L130" s="17">
        <f>J130*K130</f>
        <v/>
      </c>
      <c r="M130" s="17">
        <f>J130-L130</f>
        <v/>
      </c>
      <c r="N130" s="17">
        <f>J130*0.49</f>
        <v/>
      </c>
      <c r="O130" s="17">
        <f>M130-N130</f>
        <v/>
      </c>
      <c r="P130" s="18">
        <f>O130/M130</f>
        <v/>
      </c>
      <c r="Q130" s="16" t="inlineStr">
        <is>
          <t>2026-01-22</t>
        </is>
      </c>
      <c r="R130" s="16" t="inlineStr">
        <is>
          <t>2026-01-25</t>
        </is>
      </c>
      <c r="S130" s="10">
        <f>DATEDIF(Q130, R130, "d")</f>
        <v/>
      </c>
      <c r="T130" s="19">
        <f>EOMONTH(Q130, 0)</f>
        <v/>
      </c>
      <c r="U130" s="20">
        <f>NOW()</f>
        <v/>
      </c>
      <c r="V130" s="10">
        <f>IF(ISNUMBER(MATCH(C130, $X$5:$X$18, 0)), "VIP Match", "Standard")</f>
        <v/>
      </c>
    </row>
    <row r="131">
      <c r="A131" s="16" t="inlineStr">
        <is>
          <t>TXN-2127</t>
        </is>
      </c>
      <c r="B131" s="16" t="inlineStr">
        <is>
          <t>2026-05-07</t>
        </is>
      </c>
      <c r="C131" s="10" t="inlineStr">
        <is>
          <t>Customer 044</t>
        </is>
      </c>
      <c r="D131" s="10" t="inlineStr">
        <is>
          <t>Corporate</t>
        </is>
      </c>
      <c r="E131" s="10" t="inlineStr">
        <is>
          <t>East</t>
        </is>
      </c>
      <c r="F131" s="10" t="inlineStr">
        <is>
          <t>AI Insights Engine</t>
        </is>
      </c>
      <c r="G131" s="10">
        <f>UPPER(LEFT(F131, 3)) &amp; "-" &amp; TEXT(LEN(F131), "00")</f>
        <v/>
      </c>
      <c r="H131" s="10" t="n">
        <v>15</v>
      </c>
      <c r="I131" s="17" t="n">
        <v>352.41</v>
      </c>
      <c r="J131" s="17">
        <f>H131*I131</f>
        <v/>
      </c>
      <c r="K131" s="18" t="n">
        <v>0.2</v>
      </c>
      <c r="L131" s="17">
        <f>J131*K131</f>
        <v/>
      </c>
      <c r="M131" s="17">
        <f>J131-L131</f>
        <v/>
      </c>
      <c r="N131" s="17">
        <f>J131*0.52</f>
        <v/>
      </c>
      <c r="O131" s="17">
        <f>M131-N131</f>
        <v/>
      </c>
      <c r="P131" s="18">
        <f>O131/M131</f>
        <v/>
      </c>
      <c r="Q131" s="16" t="inlineStr">
        <is>
          <t>2026-05-07</t>
        </is>
      </c>
      <c r="R131" s="16" t="inlineStr">
        <is>
          <t>2026-05-14</t>
        </is>
      </c>
      <c r="S131" s="10">
        <f>DATEDIF(Q131, R131, "d")</f>
        <v/>
      </c>
      <c r="T131" s="19">
        <f>EOMONTH(Q131, 0)</f>
        <v/>
      </c>
      <c r="U131" s="20">
        <f>NOW()</f>
        <v/>
      </c>
      <c r="V131" s="10">
        <f>IF(ISNUMBER(MATCH(C131, $X$5:$X$18, 0)), "VIP Match", "Standard")</f>
        <v/>
      </c>
    </row>
    <row r="132">
      <c r="A132" s="16" t="inlineStr">
        <is>
          <t>TXN-2128</t>
        </is>
      </c>
      <c r="B132" s="16" t="inlineStr">
        <is>
          <t>2026-03-31</t>
        </is>
      </c>
      <c r="C132" s="10" t="inlineStr">
        <is>
          <t>Customer 021</t>
        </is>
      </c>
      <c r="D132" s="10" t="inlineStr">
        <is>
          <t>Retail</t>
        </is>
      </c>
      <c r="E132" s="10" t="inlineStr">
        <is>
          <t>West</t>
        </is>
      </c>
      <c r="F132" s="10" t="inlineStr">
        <is>
          <t>AI Insights Engine</t>
        </is>
      </c>
      <c r="G132" s="10">
        <f>UPPER(LEFT(F132, 3)) &amp; "-" &amp; TEXT(LEN(F132), "00")</f>
        <v/>
      </c>
      <c r="H132" s="10" t="n">
        <v>101</v>
      </c>
      <c r="I132" s="17" t="n">
        <v>305.51</v>
      </c>
      <c r="J132" s="17">
        <f>H132*I132</f>
        <v/>
      </c>
      <c r="K132" s="18" t="n">
        <v>0</v>
      </c>
      <c r="L132" s="17">
        <f>J132*K132</f>
        <v/>
      </c>
      <c r="M132" s="17">
        <f>J132-L132</f>
        <v/>
      </c>
      <c r="N132" s="17">
        <f>J132*0.55</f>
        <v/>
      </c>
      <c r="O132" s="17">
        <f>M132-N132</f>
        <v/>
      </c>
      <c r="P132" s="18">
        <f>O132/M132</f>
        <v/>
      </c>
      <c r="Q132" s="16" t="inlineStr">
        <is>
          <t>2026-03-31</t>
        </is>
      </c>
      <c r="R132" s="16" t="inlineStr">
        <is>
          <t>2026-04-11</t>
        </is>
      </c>
      <c r="S132" s="10">
        <f>DATEDIF(Q132, R132, "d")</f>
        <v/>
      </c>
      <c r="T132" s="19">
        <f>EOMONTH(Q132, 0)</f>
        <v/>
      </c>
      <c r="U132" s="20">
        <f>NOW()</f>
        <v/>
      </c>
      <c r="V132" s="10">
        <f>IF(ISNUMBER(MATCH(C132, $X$5:$X$18, 0)), "VIP Match", "Standard")</f>
        <v/>
      </c>
    </row>
    <row r="133">
      <c r="A133" s="16" t="inlineStr">
        <is>
          <t>TXN-2129</t>
        </is>
      </c>
      <c r="B133" s="16" t="inlineStr">
        <is>
          <t>2026-06-01</t>
        </is>
      </c>
      <c r="C133" s="10" t="inlineStr">
        <is>
          <t>Customer 035</t>
        </is>
      </c>
      <c r="D133" s="10" t="inlineStr">
        <is>
          <t>Retail</t>
        </is>
      </c>
      <c r="E133" s="10" t="inlineStr">
        <is>
          <t>West</t>
        </is>
      </c>
      <c r="F133" s="10" t="inlineStr">
        <is>
          <t>AI Insights Engine</t>
        </is>
      </c>
      <c r="G133" s="10">
        <f>UPPER(LEFT(F133, 3)) &amp; "-" &amp; TEXT(LEN(F133), "00")</f>
        <v/>
      </c>
      <c r="H133" s="10" t="n">
        <v>42</v>
      </c>
      <c r="I133" s="17" t="n">
        <v>334.45</v>
      </c>
      <c r="J133" s="17">
        <f>H133*I133</f>
        <v/>
      </c>
      <c r="K133" s="18" t="n">
        <v>0.2</v>
      </c>
      <c r="L133" s="17">
        <f>J133*K133</f>
        <v/>
      </c>
      <c r="M133" s="17">
        <f>J133-L133</f>
        <v/>
      </c>
      <c r="N133" s="17">
        <f>J133*0.56</f>
        <v/>
      </c>
      <c r="O133" s="17">
        <f>M133-N133</f>
        <v/>
      </c>
      <c r="P133" s="18">
        <f>O133/M133</f>
        <v/>
      </c>
      <c r="Q133" s="16" t="inlineStr">
        <is>
          <t>2026-06-01</t>
        </is>
      </c>
      <c r="R133" s="16" t="inlineStr">
        <is>
          <t>2026-06-07</t>
        </is>
      </c>
      <c r="S133" s="10">
        <f>DATEDIF(Q133, R133, "d")</f>
        <v/>
      </c>
      <c r="T133" s="19">
        <f>EOMONTH(Q133, 0)</f>
        <v/>
      </c>
      <c r="U133" s="20">
        <f>NOW()</f>
        <v/>
      </c>
      <c r="V133" s="10">
        <f>IF(ISNUMBER(MATCH(C133, $X$5:$X$18, 0)), "VIP Match", "Standard")</f>
        <v/>
      </c>
    </row>
    <row r="134">
      <c r="A134" s="16" t="inlineStr">
        <is>
          <t>TXN-2130</t>
        </is>
      </c>
      <c r="B134" s="16" t="inlineStr">
        <is>
          <t>2026-01-17</t>
        </is>
      </c>
      <c r="C134" s="10" t="inlineStr">
        <is>
          <t>Customer 018</t>
        </is>
      </c>
      <c r="D134" s="10" t="inlineStr">
        <is>
          <t>Retail</t>
        </is>
      </c>
      <c r="E134" s="10" t="inlineStr">
        <is>
          <t>North</t>
        </is>
      </c>
      <c r="F134" s="10" t="inlineStr">
        <is>
          <t>Data Vault Ultra</t>
        </is>
      </c>
      <c r="G134" s="10">
        <f>UPPER(LEFT(F134, 3)) &amp; "-" &amp; TEXT(LEN(F134), "00")</f>
        <v/>
      </c>
      <c r="H134" s="10" t="n">
        <v>50</v>
      </c>
      <c r="I134" s="17" t="n">
        <v>52.94</v>
      </c>
      <c r="J134" s="17">
        <f>H134*I134</f>
        <v/>
      </c>
      <c r="K134" s="18" t="n">
        <v>0.05</v>
      </c>
      <c r="L134" s="17">
        <f>J134*K134</f>
        <v/>
      </c>
      <c r="M134" s="17">
        <f>J134-L134</f>
        <v/>
      </c>
      <c r="N134" s="17">
        <f>J134*0.53</f>
        <v/>
      </c>
      <c r="O134" s="17">
        <f>M134-N134</f>
        <v/>
      </c>
      <c r="P134" s="18">
        <f>O134/M134</f>
        <v/>
      </c>
      <c r="Q134" s="16" t="inlineStr">
        <is>
          <t>2026-01-17</t>
        </is>
      </c>
      <c r="R134" s="16" t="inlineStr">
        <is>
          <t>2026-01-18</t>
        </is>
      </c>
      <c r="S134" s="10">
        <f>DATEDIF(Q134, R134, "d")</f>
        <v/>
      </c>
      <c r="T134" s="19">
        <f>EOMONTH(Q134, 0)</f>
        <v/>
      </c>
      <c r="U134" s="20">
        <f>NOW()</f>
        <v/>
      </c>
      <c r="V134" s="10">
        <f>IF(ISNUMBER(MATCH(C134, $X$5:$X$18, 0)), "VIP Match", "Standard")</f>
        <v/>
      </c>
    </row>
    <row r="135">
      <c r="A135" s="16" t="inlineStr">
        <is>
          <t>TXN-2131</t>
        </is>
      </c>
      <c r="B135" s="16" t="inlineStr">
        <is>
          <t>2026-02-20</t>
        </is>
      </c>
      <c r="C135" s="10" t="inlineStr">
        <is>
          <t>Customer 035</t>
        </is>
      </c>
      <c r="D135" s="10" t="inlineStr">
        <is>
          <t>Wholesale</t>
        </is>
      </c>
      <c r="E135" s="10" t="inlineStr">
        <is>
          <t>West</t>
        </is>
      </c>
      <c r="F135" s="10" t="inlineStr">
        <is>
          <t>Smart Metrics Dashboard</t>
        </is>
      </c>
      <c r="G135" s="10">
        <f>UPPER(LEFT(F135, 3)) &amp; "-" &amp; TEXT(LEN(F135), "00")</f>
        <v/>
      </c>
      <c r="H135" s="10" t="n">
        <v>97</v>
      </c>
      <c r="I135" s="17" t="n">
        <v>415.8</v>
      </c>
      <c r="J135" s="17">
        <f>H135*I135</f>
        <v/>
      </c>
      <c r="K135" s="18" t="n">
        <v>0.2</v>
      </c>
      <c r="L135" s="17">
        <f>J135*K135</f>
        <v/>
      </c>
      <c r="M135" s="17">
        <f>J135-L135</f>
        <v/>
      </c>
      <c r="N135" s="17">
        <f>J135*0.61</f>
        <v/>
      </c>
      <c r="O135" s="17">
        <f>M135-N135</f>
        <v/>
      </c>
      <c r="P135" s="18">
        <f>O135/M135</f>
        <v/>
      </c>
      <c r="Q135" s="16" t="inlineStr">
        <is>
          <t>2026-02-20</t>
        </is>
      </c>
      <c r="R135" s="16" t="inlineStr">
        <is>
          <t>2026-02-27</t>
        </is>
      </c>
      <c r="S135" s="10">
        <f>DATEDIF(Q135, R135, "d")</f>
        <v/>
      </c>
      <c r="T135" s="19">
        <f>EOMONTH(Q135, 0)</f>
        <v/>
      </c>
      <c r="U135" s="20">
        <f>NOW()</f>
        <v/>
      </c>
      <c r="V135" s="10">
        <f>IF(ISNUMBER(MATCH(C135, $X$5:$X$18, 0)), "VIP Match", "Standard")</f>
        <v/>
      </c>
    </row>
    <row r="136">
      <c r="A136" s="16" t="inlineStr">
        <is>
          <t>TXN-2132</t>
        </is>
      </c>
      <c r="B136" s="16" t="inlineStr">
        <is>
          <t>2026-06-28</t>
        </is>
      </c>
      <c r="C136" s="10" t="inlineStr">
        <is>
          <t>Customer 042</t>
        </is>
      </c>
      <c r="D136" s="10" t="inlineStr">
        <is>
          <t>Corporate</t>
        </is>
      </c>
      <c r="E136" s="10" t="inlineStr">
        <is>
          <t>East</t>
        </is>
      </c>
      <c r="F136" s="10" t="inlineStr">
        <is>
          <t>Enterprise Analytics Pro</t>
        </is>
      </c>
      <c r="G136" s="10">
        <f>UPPER(LEFT(F136, 3)) &amp; "-" &amp; TEXT(LEN(F136), "00")</f>
        <v/>
      </c>
      <c r="H136" s="10" t="n">
        <v>28</v>
      </c>
      <c r="I136" s="17" t="n">
        <v>206.19</v>
      </c>
      <c r="J136" s="17">
        <f>H136*I136</f>
        <v/>
      </c>
      <c r="K136" s="18" t="n">
        <v>0.15</v>
      </c>
      <c r="L136" s="17">
        <f>J136*K136</f>
        <v/>
      </c>
      <c r="M136" s="17">
        <f>J136-L136</f>
        <v/>
      </c>
      <c r="N136" s="17">
        <f>J136*0.46</f>
        <v/>
      </c>
      <c r="O136" s="17">
        <f>M136-N136</f>
        <v/>
      </c>
      <c r="P136" s="18">
        <f>O136/M136</f>
        <v/>
      </c>
      <c r="Q136" s="16" t="inlineStr">
        <is>
          <t>2026-06-28</t>
        </is>
      </c>
      <c r="R136" s="16" t="inlineStr">
        <is>
          <t>2026-07-07</t>
        </is>
      </c>
      <c r="S136" s="10">
        <f>DATEDIF(Q136, R136, "d")</f>
        <v/>
      </c>
      <c r="T136" s="19">
        <f>EOMONTH(Q136, 0)</f>
        <v/>
      </c>
      <c r="U136" s="20">
        <f>NOW()</f>
        <v/>
      </c>
      <c r="V136" s="10">
        <f>IF(ISNUMBER(MATCH(C136, $X$5:$X$18, 0)), "VIP Match", "Standard")</f>
        <v/>
      </c>
    </row>
    <row r="137">
      <c r="A137" s="16" t="inlineStr">
        <is>
          <t>TXN-2133</t>
        </is>
      </c>
      <c r="B137" s="16" t="inlineStr">
        <is>
          <t>2026-06-04</t>
        </is>
      </c>
      <c r="C137" s="10" t="inlineStr">
        <is>
          <t>Customer 020</t>
        </is>
      </c>
      <c r="D137" s="10" t="inlineStr">
        <is>
          <t>Wholesale</t>
        </is>
      </c>
      <c r="E137" s="10" t="inlineStr">
        <is>
          <t>Central</t>
        </is>
      </c>
      <c r="F137" s="10" t="inlineStr">
        <is>
          <t>Enterprise Analytics Pro</t>
        </is>
      </c>
      <c r="G137" s="10">
        <f>UPPER(LEFT(F137, 3)) &amp; "-" &amp; TEXT(LEN(F137), "00")</f>
        <v/>
      </c>
      <c r="H137" s="10" t="n">
        <v>29</v>
      </c>
      <c r="I137" s="17" t="n">
        <v>285.53</v>
      </c>
      <c r="J137" s="17">
        <f>H137*I137</f>
        <v/>
      </c>
      <c r="K137" s="18" t="n">
        <v>0.15</v>
      </c>
      <c r="L137" s="17">
        <f>J137*K137</f>
        <v/>
      </c>
      <c r="M137" s="17">
        <f>J137-L137</f>
        <v/>
      </c>
      <c r="N137" s="17">
        <f>J137*0.56</f>
        <v/>
      </c>
      <c r="O137" s="17">
        <f>M137-N137</f>
        <v/>
      </c>
      <c r="P137" s="18">
        <f>O137/M137</f>
        <v/>
      </c>
      <c r="Q137" s="16" t="inlineStr">
        <is>
          <t>2026-06-04</t>
        </is>
      </c>
      <c r="R137" s="16" t="inlineStr">
        <is>
          <t>2026-06-15</t>
        </is>
      </c>
      <c r="S137" s="10">
        <f>DATEDIF(Q137, R137, "d")</f>
        <v/>
      </c>
      <c r="T137" s="19">
        <f>EOMONTH(Q137, 0)</f>
        <v/>
      </c>
      <c r="U137" s="20">
        <f>NOW()</f>
        <v/>
      </c>
      <c r="V137" s="10">
        <f>IF(ISNUMBER(MATCH(C137, $X$5:$X$18, 0)), "VIP Match", "Standard")</f>
        <v/>
      </c>
    </row>
    <row r="138">
      <c r="A138" s="16" t="inlineStr">
        <is>
          <t>TXN-2134</t>
        </is>
      </c>
      <c r="B138" s="16" t="inlineStr">
        <is>
          <t>2026-03-10</t>
        </is>
      </c>
      <c r="C138" s="10" t="inlineStr">
        <is>
          <t>Customer 043</t>
        </is>
      </c>
      <c r="D138" s="10" t="inlineStr">
        <is>
          <t>Retail</t>
        </is>
      </c>
      <c r="E138" s="10" t="inlineStr">
        <is>
          <t>Central</t>
        </is>
      </c>
      <c r="F138" s="10" t="inlineStr">
        <is>
          <t>Smart Metrics Dashboard</t>
        </is>
      </c>
      <c r="G138" s="10">
        <f>UPPER(LEFT(F138, 3)) &amp; "-" &amp; TEXT(LEN(F138), "00")</f>
        <v/>
      </c>
      <c r="H138" s="10" t="n">
        <v>73</v>
      </c>
      <c r="I138" s="17" t="n">
        <v>185.43</v>
      </c>
      <c r="J138" s="17">
        <f>H138*I138</f>
        <v/>
      </c>
      <c r="K138" s="18" t="n">
        <v>0.05</v>
      </c>
      <c r="L138" s="17">
        <f>J138*K138</f>
        <v/>
      </c>
      <c r="M138" s="17">
        <f>J138-L138</f>
        <v/>
      </c>
      <c r="N138" s="17">
        <f>J138*0.62</f>
        <v/>
      </c>
      <c r="O138" s="17">
        <f>M138-N138</f>
        <v/>
      </c>
      <c r="P138" s="18">
        <f>O138/M138</f>
        <v/>
      </c>
      <c r="Q138" s="16" t="inlineStr">
        <is>
          <t>2026-03-10</t>
        </is>
      </c>
      <c r="R138" s="16" t="inlineStr">
        <is>
          <t>2026-03-20</t>
        </is>
      </c>
      <c r="S138" s="10">
        <f>DATEDIF(Q138, R138, "d")</f>
        <v/>
      </c>
      <c r="T138" s="19">
        <f>EOMONTH(Q138, 0)</f>
        <v/>
      </c>
      <c r="U138" s="20">
        <f>NOW()</f>
        <v/>
      </c>
      <c r="V138" s="10">
        <f>IF(ISNUMBER(MATCH(C138, $X$5:$X$18, 0)), "VIP Match", "Standard")</f>
        <v/>
      </c>
    </row>
    <row r="139">
      <c r="A139" s="16" t="inlineStr">
        <is>
          <t>TXN-2135</t>
        </is>
      </c>
      <c r="B139" s="16" t="inlineStr">
        <is>
          <t>2026-04-26</t>
        </is>
      </c>
      <c r="C139" s="10" t="inlineStr">
        <is>
          <t>Customer 023</t>
        </is>
      </c>
      <c r="D139" s="10" t="inlineStr">
        <is>
          <t>Retail</t>
        </is>
      </c>
      <c r="E139" s="10" t="inlineStr">
        <is>
          <t>South</t>
        </is>
      </c>
      <c r="F139" s="10" t="inlineStr">
        <is>
          <t>AI Insights Engine</t>
        </is>
      </c>
      <c r="G139" s="10">
        <f>UPPER(LEFT(F139, 3)) &amp; "-" &amp; TEXT(LEN(F139), "00")</f>
        <v/>
      </c>
      <c r="H139" s="10" t="n">
        <v>82</v>
      </c>
      <c r="I139" s="17" t="n">
        <v>309.95</v>
      </c>
      <c r="J139" s="17">
        <f>H139*I139</f>
        <v/>
      </c>
      <c r="K139" s="18" t="n">
        <v>0.1</v>
      </c>
      <c r="L139" s="17">
        <f>J139*K139</f>
        <v/>
      </c>
      <c r="M139" s="17">
        <f>J139-L139</f>
        <v/>
      </c>
      <c r="N139" s="17">
        <f>J139*0.64</f>
        <v/>
      </c>
      <c r="O139" s="17">
        <f>M139-N139</f>
        <v/>
      </c>
      <c r="P139" s="18">
        <f>O139/M139</f>
        <v/>
      </c>
      <c r="Q139" s="16" t="inlineStr">
        <is>
          <t>2026-04-26</t>
        </is>
      </c>
      <c r="R139" s="16" t="inlineStr">
        <is>
          <t>2026-05-02</t>
        </is>
      </c>
      <c r="S139" s="10">
        <f>DATEDIF(Q139, R139, "d")</f>
        <v/>
      </c>
      <c r="T139" s="19">
        <f>EOMONTH(Q139, 0)</f>
        <v/>
      </c>
      <c r="U139" s="20">
        <f>NOW()</f>
        <v/>
      </c>
      <c r="V139" s="10">
        <f>IF(ISNUMBER(MATCH(C139, $X$5:$X$18, 0)), "VIP Match", "Standard")</f>
        <v/>
      </c>
    </row>
    <row r="140">
      <c r="A140" s="16" t="inlineStr">
        <is>
          <t>TXN-2136</t>
        </is>
      </c>
      <c r="B140" s="16" t="inlineStr">
        <is>
          <t>2026-02-07</t>
        </is>
      </c>
      <c r="C140" s="10" t="inlineStr">
        <is>
          <t>Customer 024</t>
        </is>
      </c>
      <c r="D140" s="10" t="inlineStr">
        <is>
          <t>Wholesale</t>
        </is>
      </c>
      <c r="E140" s="10" t="inlineStr">
        <is>
          <t>South</t>
        </is>
      </c>
      <c r="F140" s="10" t="inlineStr">
        <is>
          <t>Smart Metrics Dashboard</t>
        </is>
      </c>
      <c r="G140" s="10">
        <f>UPPER(LEFT(F140, 3)) &amp; "-" &amp; TEXT(LEN(F140), "00")</f>
        <v/>
      </c>
      <c r="H140" s="10" t="n">
        <v>18</v>
      </c>
      <c r="I140" s="17" t="n">
        <v>432.03</v>
      </c>
      <c r="J140" s="17">
        <f>H140*I140</f>
        <v/>
      </c>
      <c r="K140" s="18" t="n">
        <v>0.1</v>
      </c>
      <c r="L140" s="17">
        <f>J140*K140</f>
        <v/>
      </c>
      <c r="M140" s="17">
        <f>J140-L140</f>
        <v/>
      </c>
      <c r="N140" s="17">
        <f>J140*0.61</f>
        <v/>
      </c>
      <c r="O140" s="17">
        <f>M140-N140</f>
        <v/>
      </c>
      <c r="P140" s="18">
        <f>O140/M140</f>
        <v/>
      </c>
      <c r="Q140" s="16" t="inlineStr">
        <is>
          <t>2026-02-07</t>
        </is>
      </c>
      <c r="R140" s="16" t="inlineStr">
        <is>
          <t>2026-02-14</t>
        </is>
      </c>
      <c r="S140" s="10">
        <f>DATEDIF(Q140, R140, "d")</f>
        <v/>
      </c>
      <c r="T140" s="19">
        <f>EOMONTH(Q140, 0)</f>
        <v/>
      </c>
      <c r="U140" s="20">
        <f>NOW()</f>
        <v/>
      </c>
      <c r="V140" s="10">
        <f>IF(ISNUMBER(MATCH(C140, $X$5:$X$18, 0)), "VIP Match", "Standard")</f>
        <v/>
      </c>
    </row>
    <row r="141">
      <c r="A141" s="16" t="inlineStr">
        <is>
          <t>TXN-2137</t>
        </is>
      </c>
      <c r="B141" s="16" t="inlineStr">
        <is>
          <t>2026-06-26</t>
        </is>
      </c>
      <c r="C141" s="10" t="inlineStr">
        <is>
          <t>Customer 023</t>
        </is>
      </c>
      <c r="D141" s="10" t="inlineStr">
        <is>
          <t>Retail</t>
        </is>
      </c>
      <c r="E141" s="10" t="inlineStr">
        <is>
          <t>North</t>
        </is>
      </c>
      <c r="F141" s="10" t="inlineStr">
        <is>
          <t>Enterprise Analytics Pro</t>
        </is>
      </c>
      <c r="G141" s="10">
        <f>UPPER(LEFT(F141, 3)) &amp; "-" &amp; TEXT(LEN(F141), "00")</f>
        <v/>
      </c>
      <c r="H141" s="10" t="n">
        <v>96</v>
      </c>
      <c r="I141" s="17" t="n">
        <v>171.26</v>
      </c>
      <c r="J141" s="17">
        <f>H141*I141</f>
        <v/>
      </c>
      <c r="K141" s="18" t="n">
        <v>0.05</v>
      </c>
      <c r="L141" s="17">
        <f>J141*K141</f>
        <v/>
      </c>
      <c r="M141" s="17">
        <f>J141-L141</f>
        <v/>
      </c>
      <c r="N141" s="17">
        <f>J141*0.51</f>
        <v/>
      </c>
      <c r="O141" s="17">
        <f>M141-N141</f>
        <v/>
      </c>
      <c r="P141" s="18">
        <f>O141/M141</f>
        <v/>
      </c>
      <c r="Q141" s="16" t="inlineStr">
        <is>
          <t>2026-06-26</t>
        </is>
      </c>
      <c r="R141" s="16" t="inlineStr">
        <is>
          <t>2026-07-06</t>
        </is>
      </c>
      <c r="S141" s="10">
        <f>DATEDIF(Q141, R141, "d")</f>
        <v/>
      </c>
      <c r="T141" s="19">
        <f>EOMONTH(Q141, 0)</f>
        <v/>
      </c>
      <c r="U141" s="20">
        <f>NOW()</f>
        <v/>
      </c>
      <c r="V141" s="10">
        <f>IF(ISNUMBER(MATCH(C141, $X$5:$X$18, 0)), "VIP Match", "Standard")</f>
        <v/>
      </c>
    </row>
    <row r="142">
      <c r="A142" s="16" t="inlineStr">
        <is>
          <t>TXN-2138</t>
        </is>
      </c>
      <c r="B142" s="16" t="inlineStr">
        <is>
          <t>2026-03-06</t>
        </is>
      </c>
      <c r="C142" s="10" t="inlineStr">
        <is>
          <t>Customer 012</t>
        </is>
      </c>
      <c r="D142" s="10" t="inlineStr">
        <is>
          <t>Enterprise</t>
        </is>
      </c>
      <c r="E142" s="10" t="inlineStr">
        <is>
          <t>North</t>
        </is>
      </c>
      <c r="F142" s="10" t="inlineStr">
        <is>
          <t>Cloud Intelligence Suite</t>
        </is>
      </c>
      <c r="G142" s="10">
        <f>UPPER(LEFT(F142, 3)) &amp; "-" &amp; TEXT(LEN(F142), "00")</f>
        <v/>
      </c>
      <c r="H142" s="10" t="n">
        <v>100</v>
      </c>
      <c r="I142" s="17" t="n">
        <v>498.19</v>
      </c>
      <c r="J142" s="17">
        <f>H142*I142</f>
        <v/>
      </c>
      <c r="K142" s="18" t="n">
        <v>0.2</v>
      </c>
      <c r="L142" s="17">
        <f>J142*K142</f>
        <v/>
      </c>
      <c r="M142" s="17">
        <f>J142-L142</f>
        <v/>
      </c>
      <c r="N142" s="17">
        <f>J142*0.57</f>
        <v/>
      </c>
      <c r="O142" s="17">
        <f>M142-N142</f>
        <v/>
      </c>
      <c r="P142" s="18">
        <f>O142/M142</f>
        <v/>
      </c>
      <c r="Q142" s="16" t="inlineStr">
        <is>
          <t>2026-03-06</t>
        </is>
      </c>
      <c r="R142" s="16" t="inlineStr">
        <is>
          <t>2026-03-15</t>
        </is>
      </c>
      <c r="S142" s="10">
        <f>DATEDIF(Q142, R142, "d")</f>
        <v/>
      </c>
      <c r="T142" s="19">
        <f>EOMONTH(Q142, 0)</f>
        <v/>
      </c>
      <c r="U142" s="20">
        <f>NOW()</f>
        <v/>
      </c>
      <c r="V142" s="10">
        <f>IF(ISNUMBER(MATCH(C142, $X$5:$X$18, 0)), "VIP Match", "Standard")</f>
        <v/>
      </c>
    </row>
    <row r="143">
      <c r="A143" s="16" t="inlineStr">
        <is>
          <t>TXN-2139</t>
        </is>
      </c>
      <c r="B143" s="16" t="inlineStr">
        <is>
          <t>2026-06-21</t>
        </is>
      </c>
      <c r="C143" s="10" t="inlineStr">
        <is>
          <t>Customer 034</t>
        </is>
      </c>
      <c r="D143" s="10" t="inlineStr">
        <is>
          <t>Wholesale</t>
        </is>
      </c>
      <c r="E143" s="10" t="inlineStr">
        <is>
          <t>Central</t>
        </is>
      </c>
      <c r="F143" s="10" t="inlineStr">
        <is>
          <t>AI Insights Engine</t>
        </is>
      </c>
      <c r="G143" s="10">
        <f>UPPER(LEFT(F143, 3)) &amp; "-" &amp; TEXT(LEN(F143), "00")</f>
        <v/>
      </c>
      <c r="H143" s="10" t="n">
        <v>52</v>
      </c>
      <c r="I143" s="17" t="n">
        <v>449.64</v>
      </c>
      <c r="J143" s="17">
        <f>H143*I143</f>
        <v/>
      </c>
      <c r="K143" s="18" t="n">
        <v>0.2</v>
      </c>
      <c r="L143" s="17">
        <f>J143*K143</f>
        <v/>
      </c>
      <c r="M143" s="17">
        <f>J143-L143</f>
        <v/>
      </c>
      <c r="N143" s="17">
        <f>J143*0.60</f>
        <v/>
      </c>
      <c r="O143" s="17">
        <f>M143-N143</f>
        <v/>
      </c>
      <c r="P143" s="18">
        <f>O143/M143</f>
        <v/>
      </c>
      <c r="Q143" s="16" t="inlineStr">
        <is>
          <t>2026-06-21</t>
        </is>
      </c>
      <c r="R143" s="16" t="inlineStr">
        <is>
          <t>2026-06-22</t>
        </is>
      </c>
      <c r="S143" s="10">
        <f>DATEDIF(Q143, R143, "d")</f>
        <v/>
      </c>
      <c r="T143" s="19">
        <f>EOMONTH(Q143, 0)</f>
        <v/>
      </c>
      <c r="U143" s="20">
        <f>NOW()</f>
        <v/>
      </c>
      <c r="V143" s="10">
        <f>IF(ISNUMBER(MATCH(C143, $X$5:$X$18, 0)), "VIP Match", "Standard")</f>
        <v/>
      </c>
    </row>
    <row r="144">
      <c r="A144" s="16" t="inlineStr">
        <is>
          <t>TXN-2140</t>
        </is>
      </c>
      <c r="B144" s="16" t="inlineStr">
        <is>
          <t>2026-01-25</t>
        </is>
      </c>
      <c r="C144" s="10" t="inlineStr">
        <is>
          <t>Customer 023</t>
        </is>
      </c>
      <c r="D144" s="10" t="inlineStr">
        <is>
          <t>Wholesale</t>
        </is>
      </c>
      <c r="E144" s="10" t="inlineStr">
        <is>
          <t>East</t>
        </is>
      </c>
      <c r="F144" s="10" t="inlineStr">
        <is>
          <t>Cloud Intelligence Suite</t>
        </is>
      </c>
      <c r="G144" s="10">
        <f>UPPER(LEFT(F144, 3)) &amp; "-" &amp; TEXT(LEN(F144), "00")</f>
        <v/>
      </c>
      <c r="H144" s="10" t="n">
        <v>111</v>
      </c>
      <c r="I144" s="17" t="n">
        <v>194.03</v>
      </c>
      <c r="J144" s="17">
        <f>H144*I144</f>
        <v/>
      </c>
      <c r="K144" s="18" t="n">
        <v>0.2</v>
      </c>
      <c r="L144" s="17">
        <f>J144*K144</f>
        <v/>
      </c>
      <c r="M144" s="17">
        <f>J144-L144</f>
        <v/>
      </c>
      <c r="N144" s="17">
        <f>J144*0.61</f>
        <v/>
      </c>
      <c r="O144" s="17">
        <f>M144-N144</f>
        <v/>
      </c>
      <c r="P144" s="18">
        <f>O144/M144</f>
        <v/>
      </c>
      <c r="Q144" s="16" t="inlineStr">
        <is>
          <t>2026-01-25</t>
        </is>
      </c>
      <c r="R144" s="16" t="inlineStr">
        <is>
          <t>2026-02-02</t>
        </is>
      </c>
      <c r="S144" s="10">
        <f>DATEDIF(Q144, R144, "d")</f>
        <v/>
      </c>
      <c r="T144" s="19">
        <f>EOMONTH(Q144, 0)</f>
        <v/>
      </c>
      <c r="U144" s="20">
        <f>NOW()</f>
        <v/>
      </c>
      <c r="V144" s="10">
        <f>IF(ISNUMBER(MATCH(C144, $X$5:$X$18, 0)), "VIP Match", "Standard")</f>
        <v/>
      </c>
    </row>
    <row r="145">
      <c r="A145" s="16" t="inlineStr">
        <is>
          <t>TXN-2141</t>
        </is>
      </c>
      <c r="B145" s="16" t="inlineStr">
        <is>
          <t>2026-01-30</t>
        </is>
      </c>
      <c r="C145" s="10" t="inlineStr">
        <is>
          <t>Customer 007</t>
        </is>
      </c>
      <c r="D145" s="10" t="inlineStr">
        <is>
          <t>Corporate</t>
        </is>
      </c>
      <c r="E145" s="10" t="inlineStr">
        <is>
          <t>North</t>
        </is>
      </c>
      <c r="F145" s="10" t="inlineStr">
        <is>
          <t>Smart Metrics Dashboard</t>
        </is>
      </c>
      <c r="G145" s="10">
        <f>UPPER(LEFT(F145, 3)) &amp; "-" &amp; TEXT(LEN(F145), "00")</f>
        <v/>
      </c>
      <c r="H145" s="10" t="n">
        <v>98</v>
      </c>
      <c r="I145" s="17" t="n">
        <v>379.78</v>
      </c>
      <c r="J145" s="17">
        <f>H145*I145</f>
        <v/>
      </c>
      <c r="K145" s="18" t="n">
        <v>0.05</v>
      </c>
      <c r="L145" s="17">
        <f>J145*K145</f>
        <v/>
      </c>
      <c r="M145" s="17">
        <f>J145-L145</f>
        <v/>
      </c>
      <c r="N145" s="17">
        <f>J145*0.55</f>
        <v/>
      </c>
      <c r="O145" s="17">
        <f>M145-N145</f>
        <v/>
      </c>
      <c r="P145" s="18">
        <f>O145/M145</f>
        <v/>
      </c>
      <c r="Q145" s="16" t="inlineStr">
        <is>
          <t>2026-01-30</t>
        </is>
      </c>
      <c r="R145" s="16" t="inlineStr">
        <is>
          <t>2026-02-03</t>
        </is>
      </c>
      <c r="S145" s="10">
        <f>DATEDIF(Q145, R145, "d")</f>
        <v/>
      </c>
      <c r="T145" s="19">
        <f>EOMONTH(Q145, 0)</f>
        <v/>
      </c>
      <c r="U145" s="20">
        <f>NOW()</f>
        <v/>
      </c>
      <c r="V145" s="10">
        <f>IF(ISNUMBER(MATCH(C145, $X$5:$X$18, 0)), "VIP Match", "Standard")</f>
        <v/>
      </c>
    </row>
    <row r="146">
      <c r="A146" s="16" t="inlineStr">
        <is>
          <t>TXN-2142</t>
        </is>
      </c>
      <c r="B146" s="16" t="inlineStr">
        <is>
          <t>2026-05-09</t>
        </is>
      </c>
      <c r="C146" s="10" t="inlineStr">
        <is>
          <t>Customer 031</t>
        </is>
      </c>
      <c r="D146" s="10" t="inlineStr">
        <is>
          <t>Corporate</t>
        </is>
      </c>
      <c r="E146" s="10" t="inlineStr">
        <is>
          <t>North</t>
        </is>
      </c>
      <c r="F146" s="10" t="inlineStr">
        <is>
          <t>AI Insights Engine</t>
        </is>
      </c>
      <c r="G146" s="10">
        <f>UPPER(LEFT(F146, 3)) &amp; "-" &amp; TEXT(LEN(F146), "00")</f>
        <v/>
      </c>
      <c r="H146" s="10" t="n">
        <v>22</v>
      </c>
      <c r="I146" s="17" t="n">
        <v>242.85</v>
      </c>
      <c r="J146" s="17">
        <f>H146*I146</f>
        <v/>
      </c>
      <c r="K146" s="18" t="n">
        <v>0</v>
      </c>
      <c r="L146" s="17">
        <f>J146*K146</f>
        <v/>
      </c>
      <c r="M146" s="17">
        <f>J146-L146</f>
        <v/>
      </c>
      <c r="N146" s="17">
        <f>J146*0.50</f>
        <v/>
      </c>
      <c r="O146" s="17">
        <f>M146-N146</f>
        <v/>
      </c>
      <c r="P146" s="18">
        <f>O146/M146</f>
        <v/>
      </c>
      <c r="Q146" s="16" t="inlineStr">
        <is>
          <t>2026-05-09</t>
        </is>
      </c>
      <c r="R146" s="16" t="inlineStr">
        <is>
          <t>2026-05-10</t>
        </is>
      </c>
      <c r="S146" s="10">
        <f>DATEDIF(Q146, R146, "d")</f>
        <v/>
      </c>
      <c r="T146" s="19">
        <f>EOMONTH(Q146, 0)</f>
        <v/>
      </c>
      <c r="U146" s="20">
        <f>NOW()</f>
        <v/>
      </c>
      <c r="V146" s="10">
        <f>IF(ISNUMBER(MATCH(C146, $X$5:$X$18, 0)), "VIP Match", "Standard")</f>
        <v/>
      </c>
    </row>
    <row r="147">
      <c r="A147" s="16" t="inlineStr">
        <is>
          <t>TXN-2143</t>
        </is>
      </c>
      <c r="B147" s="16" t="inlineStr">
        <is>
          <t>2026-05-01</t>
        </is>
      </c>
      <c r="C147" s="10" t="inlineStr">
        <is>
          <t>Customer 004</t>
        </is>
      </c>
      <c r="D147" s="10" t="inlineStr">
        <is>
          <t>Wholesale</t>
        </is>
      </c>
      <c r="E147" s="10" t="inlineStr">
        <is>
          <t>West</t>
        </is>
      </c>
      <c r="F147" s="10" t="inlineStr">
        <is>
          <t>Data Vault Ultra</t>
        </is>
      </c>
      <c r="G147" s="10">
        <f>UPPER(LEFT(F147, 3)) &amp; "-" &amp; TEXT(LEN(F147), "00")</f>
        <v/>
      </c>
      <c r="H147" s="10" t="n">
        <v>70</v>
      </c>
      <c r="I147" s="17" t="n">
        <v>486.58</v>
      </c>
      <c r="J147" s="17">
        <f>H147*I147</f>
        <v/>
      </c>
      <c r="K147" s="18" t="n">
        <v>0</v>
      </c>
      <c r="L147" s="17">
        <f>J147*K147</f>
        <v/>
      </c>
      <c r="M147" s="17">
        <f>J147-L147</f>
        <v/>
      </c>
      <c r="N147" s="17">
        <f>J147*0.52</f>
        <v/>
      </c>
      <c r="O147" s="17">
        <f>M147-N147</f>
        <v/>
      </c>
      <c r="P147" s="18">
        <f>O147/M147</f>
        <v/>
      </c>
      <c r="Q147" s="16" t="inlineStr">
        <is>
          <t>2026-05-01</t>
        </is>
      </c>
      <c r="R147" s="16" t="inlineStr">
        <is>
          <t>2026-05-04</t>
        </is>
      </c>
      <c r="S147" s="10">
        <f>DATEDIF(Q147, R147, "d")</f>
        <v/>
      </c>
      <c r="T147" s="19">
        <f>EOMONTH(Q147, 0)</f>
        <v/>
      </c>
      <c r="U147" s="20">
        <f>NOW()</f>
        <v/>
      </c>
      <c r="V147" s="10">
        <f>IF(ISNUMBER(MATCH(C147, $X$5:$X$18, 0)), "VIP Match", "Standard")</f>
        <v/>
      </c>
    </row>
    <row r="148">
      <c r="A148" s="16" t="inlineStr">
        <is>
          <t>TXN-2144</t>
        </is>
      </c>
      <c r="B148" s="16" t="inlineStr">
        <is>
          <t>2026-02-25</t>
        </is>
      </c>
      <c r="C148" s="10" t="inlineStr">
        <is>
          <t>Customer 006</t>
        </is>
      </c>
      <c r="D148" s="10" t="inlineStr">
        <is>
          <t>Enterprise</t>
        </is>
      </c>
      <c r="E148" s="10" t="inlineStr">
        <is>
          <t>West</t>
        </is>
      </c>
      <c r="F148" s="10" t="inlineStr">
        <is>
          <t>Data Vault Ultra</t>
        </is>
      </c>
      <c r="G148" s="10">
        <f>UPPER(LEFT(F148, 3)) &amp; "-" &amp; TEXT(LEN(F148), "00")</f>
        <v/>
      </c>
      <c r="H148" s="10" t="n">
        <v>18</v>
      </c>
      <c r="I148" s="17" t="n">
        <v>348.91</v>
      </c>
      <c r="J148" s="17">
        <f>H148*I148</f>
        <v/>
      </c>
      <c r="K148" s="18" t="n">
        <v>0</v>
      </c>
      <c r="L148" s="17">
        <f>J148*K148</f>
        <v/>
      </c>
      <c r="M148" s="17">
        <f>J148-L148</f>
        <v/>
      </c>
      <c r="N148" s="17">
        <f>J148*0.56</f>
        <v/>
      </c>
      <c r="O148" s="17">
        <f>M148-N148</f>
        <v/>
      </c>
      <c r="P148" s="18">
        <f>O148/M148</f>
        <v/>
      </c>
      <c r="Q148" s="16" t="inlineStr">
        <is>
          <t>2026-02-25</t>
        </is>
      </c>
      <c r="R148" s="16" t="inlineStr">
        <is>
          <t>2026-03-04</t>
        </is>
      </c>
      <c r="S148" s="10">
        <f>DATEDIF(Q148, R148, "d")</f>
        <v/>
      </c>
      <c r="T148" s="19">
        <f>EOMONTH(Q148, 0)</f>
        <v/>
      </c>
      <c r="U148" s="20">
        <f>NOW()</f>
        <v/>
      </c>
      <c r="V148" s="10">
        <f>IF(ISNUMBER(MATCH(C148, $X$5:$X$18, 0)), "VIP Match", "Standard")</f>
        <v/>
      </c>
    </row>
    <row r="149">
      <c r="A149" s="16" t="inlineStr">
        <is>
          <t>TXN-2145</t>
        </is>
      </c>
      <c r="B149" s="16" t="inlineStr">
        <is>
          <t>2026-04-20</t>
        </is>
      </c>
      <c r="C149" s="10" t="inlineStr">
        <is>
          <t>Customer 039</t>
        </is>
      </c>
      <c r="D149" s="10" t="inlineStr">
        <is>
          <t>Retail</t>
        </is>
      </c>
      <c r="E149" s="10" t="inlineStr">
        <is>
          <t>North</t>
        </is>
      </c>
      <c r="F149" s="10" t="inlineStr">
        <is>
          <t>Data Vault Ultra</t>
        </is>
      </c>
      <c r="G149" s="10">
        <f>UPPER(LEFT(F149, 3)) &amp; "-" &amp; TEXT(LEN(F149), "00")</f>
        <v/>
      </c>
      <c r="H149" s="10" t="n">
        <v>7</v>
      </c>
      <c r="I149" s="17" t="n">
        <v>291.28</v>
      </c>
      <c r="J149" s="17">
        <f>H149*I149</f>
        <v/>
      </c>
      <c r="K149" s="18" t="n">
        <v>0</v>
      </c>
      <c r="L149" s="17">
        <f>J149*K149</f>
        <v/>
      </c>
      <c r="M149" s="17">
        <f>J149-L149</f>
        <v/>
      </c>
      <c r="N149" s="17">
        <f>J149*0.48</f>
        <v/>
      </c>
      <c r="O149" s="17">
        <f>M149-N149</f>
        <v/>
      </c>
      <c r="P149" s="18">
        <f>O149/M149</f>
        <v/>
      </c>
      <c r="Q149" s="16" t="inlineStr">
        <is>
          <t>2026-04-20</t>
        </is>
      </c>
      <c r="R149" s="16" t="inlineStr">
        <is>
          <t>2026-05-02</t>
        </is>
      </c>
      <c r="S149" s="10">
        <f>DATEDIF(Q149, R149, "d")</f>
        <v/>
      </c>
      <c r="T149" s="19">
        <f>EOMONTH(Q149, 0)</f>
        <v/>
      </c>
      <c r="U149" s="20">
        <f>NOW()</f>
        <v/>
      </c>
      <c r="V149" s="10">
        <f>IF(ISNUMBER(MATCH(C149, $X$5:$X$18, 0)), "VIP Match", "Standard")</f>
        <v/>
      </c>
    </row>
    <row r="150">
      <c r="A150" s="16" t="inlineStr">
        <is>
          <t>TXN-2146</t>
        </is>
      </c>
      <c r="B150" s="16" t="inlineStr">
        <is>
          <t>2026-01-03</t>
        </is>
      </c>
      <c r="C150" s="10" t="inlineStr">
        <is>
          <t>Customer 047</t>
        </is>
      </c>
      <c r="D150" s="10" t="inlineStr">
        <is>
          <t>Enterprise</t>
        </is>
      </c>
      <c r="E150" s="10" t="inlineStr">
        <is>
          <t>South</t>
        </is>
      </c>
      <c r="F150" s="10" t="inlineStr">
        <is>
          <t>Data Vault Ultra</t>
        </is>
      </c>
      <c r="G150" s="10">
        <f>UPPER(LEFT(F150, 3)) &amp; "-" &amp; TEXT(LEN(F150), "00")</f>
        <v/>
      </c>
      <c r="H150" s="10" t="n">
        <v>60</v>
      </c>
      <c r="I150" s="17" t="n">
        <v>437.48</v>
      </c>
      <c r="J150" s="17">
        <f>H150*I150</f>
        <v/>
      </c>
      <c r="K150" s="18" t="n">
        <v>0.15</v>
      </c>
      <c r="L150" s="17">
        <f>J150*K150</f>
        <v/>
      </c>
      <c r="M150" s="17">
        <f>J150-L150</f>
        <v/>
      </c>
      <c r="N150" s="17">
        <f>J150*0.58</f>
        <v/>
      </c>
      <c r="O150" s="17">
        <f>M150-N150</f>
        <v/>
      </c>
      <c r="P150" s="18">
        <f>O150/M150</f>
        <v/>
      </c>
      <c r="Q150" s="16" t="inlineStr">
        <is>
          <t>2026-01-03</t>
        </is>
      </c>
      <c r="R150" s="16" t="inlineStr">
        <is>
          <t>2026-01-05</t>
        </is>
      </c>
      <c r="S150" s="10">
        <f>DATEDIF(Q150, R150, "d")</f>
        <v/>
      </c>
      <c r="T150" s="19">
        <f>EOMONTH(Q150, 0)</f>
        <v/>
      </c>
      <c r="U150" s="20">
        <f>NOW()</f>
        <v/>
      </c>
      <c r="V150" s="10">
        <f>IF(ISNUMBER(MATCH(C150, $X$5:$X$18, 0)), "VIP Match", "Standard")</f>
        <v/>
      </c>
    </row>
    <row r="151">
      <c r="A151" s="16" t="inlineStr">
        <is>
          <t>TXN-2147</t>
        </is>
      </c>
      <c r="B151" s="16" t="inlineStr">
        <is>
          <t>2026-02-12</t>
        </is>
      </c>
      <c r="C151" s="10" t="inlineStr">
        <is>
          <t>Customer 004</t>
        </is>
      </c>
      <c r="D151" s="10" t="inlineStr">
        <is>
          <t>Enterprise</t>
        </is>
      </c>
      <c r="E151" s="10" t="inlineStr">
        <is>
          <t>South</t>
        </is>
      </c>
      <c r="F151" s="10" t="inlineStr">
        <is>
          <t>AI Insights Engine</t>
        </is>
      </c>
      <c r="G151" s="10">
        <f>UPPER(LEFT(F151, 3)) &amp; "-" &amp; TEXT(LEN(F151), "00")</f>
        <v/>
      </c>
      <c r="H151" s="10" t="n">
        <v>75</v>
      </c>
      <c r="I151" s="17" t="n">
        <v>195.27</v>
      </c>
      <c r="J151" s="17">
        <f>H151*I151</f>
        <v/>
      </c>
      <c r="K151" s="18" t="n">
        <v>0.2</v>
      </c>
      <c r="L151" s="17">
        <f>J151*K151</f>
        <v/>
      </c>
      <c r="M151" s="17">
        <f>J151-L151</f>
        <v/>
      </c>
      <c r="N151" s="17">
        <f>J151*0.48</f>
        <v/>
      </c>
      <c r="O151" s="17">
        <f>M151-N151</f>
        <v/>
      </c>
      <c r="P151" s="18">
        <f>O151/M151</f>
        <v/>
      </c>
      <c r="Q151" s="16" t="inlineStr">
        <is>
          <t>2026-02-12</t>
        </is>
      </c>
      <c r="R151" s="16" t="inlineStr">
        <is>
          <t>2026-02-21</t>
        </is>
      </c>
      <c r="S151" s="10">
        <f>DATEDIF(Q151, R151, "d")</f>
        <v/>
      </c>
      <c r="T151" s="19">
        <f>EOMONTH(Q151, 0)</f>
        <v/>
      </c>
      <c r="U151" s="20">
        <f>NOW()</f>
        <v/>
      </c>
      <c r="V151" s="10">
        <f>IF(ISNUMBER(MATCH(C151, $X$5:$X$18, 0)), "VIP Match", "Standard")</f>
        <v/>
      </c>
    </row>
    <row r="152">
      <c r="A152" s="16" t="inlineStr">
        <is>
          <t>TXN-2148</t>
        </is>
      </c>
      <c r="B152" s="16" t="inlineStr">
        <is>
          <t>2026-01-07</t>
        </is>
      </c>
      <c r="C152" s="10" t="inlineStr">
        <is>
          <t>Customer 002</t>
        </is>
      </c>
      <c r="D152" s="10" t="inlineStr">
        <is>
          <t>Corporate</t>
        </is>
      </c>
      <c r="E152" s="10" t="inlineStr">
        <is>
          <t>Central</t>
        </is>
      </c>
      <c r="F152" s="10" t="inlineStr">
        <is>
          <t>Data Vault Ultra</t>
        </is>
      </c>
      <c r="G152" s="10">
        <f>UPPER(LEFT(F152, 3)) &amp; "-" &amp; TEXT(LEN(F152), "00")</f>
        <v/>
      </c>
      <c r="H152" s="10" t="n">
        <v>106</v>
      </c>
      <c r="I152" s="17" t="n">
        <v>324.21</v>
      </c>
      <c r="J152" s="17">
        <f>H152*I152</f>
        <v/>
      </c>
      <c r="K152" s="18" t="n">
        <v>0.1</v>
      </c>
      <c r="L152" s="17">
        <f>J152*K152</f>
        <v/>
      </c>
      <c r="M152" s="17">
        <f>J152-L152</f>
        <v/>
      </c>
      <c r="N152" s="17">
        <f>J152*0.53</f>
        <v/>
      </c>
      <c r="O152" s="17">
        <f>M152-N152</f>
        <v/>
      </c>
      <c r="P152" s="18">
        <f>O152/M152</f>
        <v/>
      </c>
      <c r="Q152" s="16" t="inlineStr">
        <is>
          <t>2026-01-07</t>
        </is>
      </c>
      <c r="R152" s="16" t="inlineStr">
        <is>
          <t>2026-01-15</t>
        </is>
      </c>
      <c r="S152" s="10">
        <f>DATEDIF(Q152, R152, "d")</f>
        <v/>
      </c>
      <c r="T152" s="19">
        <f>EOMONTH(Q152, 0)</f>
        <v/>
      </c>
      <c r="U152" s="20">
        <f>NOW()</f>
        <v/>
      </c>
      <c r="V152" s="10">
        <f>IF(ISNUMBER(MATCH(C152, $X$5:$X$18, 0)), "VIP Match", "Standard")</f>
        <v/>
      </c>
    </row>
    <row r="153">
      <c r="A153" s="16" t="inlineStr">
        <is>
          <t>TXN-2149</t>
        </is>
      </c>
      <c r="B153" s="16" t="inlineStr">
        <is>
          <t>2026-06-02</t>
        </is>
      </c>
      <c r="C153" s="10" t="inlineStr">
        <is>
          <t>Customer 013</t>
        </is>
      </c>
      <c r="D153" s="10" t="inlineStr">
        <is>
          <t>Retail</t>
        </is>
      </c>
      <c r="E153" s="10" t="inlineStr">
        <is>
          <t>East</t>
        </is>
      </c>
      <c r="F153" s="10" t="inlineStr">
        <is>
          <t>AI Insights Engine</t>
        </is>
      </c>
      <c r="G153" s="10">
        <f>UPPER(LEFT(F153, 3)) &amp; "-" &amp; TEXT(LEN(F153), "00")</f>
        <v/>
      </c>
      <c r="H153" s="10" t="n">
        <v>66</v>
      </c>
      <c r="I153" s="17" t="n">
        <v>443.67</v>
      </c>
      <c r="J153" s="17">
        <f>H153*I153</f>
        <v/>
      </c>
      <c r="K153" s="18" t="n">
        <v>0.2</v>
      </c>
      <c r="L153" s="17">
        <f>J153*K153</f>
        <v/>
      </c>
      <c r="M153" s="17">
        <f>J153-L153</f>
        <v/>
      </c>
      <c r="N153" s="17">
        <f>J153*0.64</f>
        <v/>
      </c>
      <c r="O153" s="17">
        <f>M153-N153</f>
        <v/>
      </c>
      <c r="P153" s="18">
        <f>O153/M153</f>
        <v/>
      </c>
      <c r="Q153" s="16" t="inlineStr">
        <is>
          <t>2026-06-02</t>
        </is>
      </c>
      <c r="R153" s="16" t="inlineStr">
        <is>
          <t>2026-06-06</t>
        </is>
      </c>
      <c r="S153" s="10">
        <f>DATEDIF(Q153, R153, "d")</f>
        <v/>
      </c>
      <c r="T153" s="19">
        <f>EOMONTH(Q153, 0)</f>
        <v/>
      </c>
      <c r="U153" s="20">
        <f>NOW()</f>
        <v/>
      </c>
      <c r="V153" s="10">
        <f>IF(ISNUMBER(MATCH(C153, $X$5:$X$18, 0)), "VIP Match", "Standard")</f>
        <v/>
      </c>
    </row>
    <row r="154">
      <c r="A154" s="16" t="inlineStr">
        <is>
          <t>TXN-2150</t>
        </is>
      </c>
      <c r="B154" s="16" t="inlineStr">
        <is>
          <t>2026-06-03</t>
        </is>
      </c>
      <c r="C154" s="10" t="inlineStr">
        <is>
          <t>Customer 029</t>
        </is>
      </c>
      <c r="D154" s="10" t="inlineStr">
        <is>
          <t>Corporate</t>
        </is>
      </c>
      <c r="E154" s="10" t="inlineStr">
        <is>
          <t>Central</t>
        </is>
      </c>
      <c r="F154" s="10" t="inlineStr">
        <is>
          <t>Enterprise Analytics Pro</t>
        </is>
      </c>
      <c r="G154" s="10">
        <f>UPPER(LEFT(F154, 3)) &amp; "-" &amp; TEXT(LEN(F154), "00")</f>
        <v/>
      </c>
      <c r="H154" s="10" t="n">
        <v>91</v>
      </c>
      <c r="I154" s="17" t="n">
        <v>469.2</v>
      </c>
      <c r="J154" s="17">
        <f>H154*I154</f>
        <v/>
      </c>
      <c r="K154" s="18" t="n">
        <v>0</v>
      </c>
      <c r="L154" s="17">
        <f>J154*K154</f>
        <v/>
      </c>
      <c r="M154" s="17">
        <f>J154-L154</f>
        <v/>
      </c>
      <c r="N154" s="17">
        <f>J154*0.52</f>
        <v/>
      </c>
      <c r="O154" s="17">
        <f>M154-N154</f>
        <v/>
      </c>
      <c r="P154" s="18">
        <f>O154/M154</f>
        <v/>
      </c>
      <c r="Q154" s="16" t="inlineStr">
        <is>
          <t>2026-06-03</t>
        </is>
      </c>
      <c r="R154" s="16" t="inlineStr">
        <is>
          <t>2026-06-04</t>
        </is>
      </c>
      <c r="S154" s="10">
        <f>DATEDIF(Q154, R154, "d")</f>
        <v/>
      </c>
      <c r="T154" s="19">
        <f>EOMONTH(Q154, 0)</f>
        <v/>
      </c>
      <c r="U154" s="20">
        <f>NOW()</f>
        <v/>
      </c>
      <c r="V154" s="10">
        <f>IF(ISNUMBER(MATCH(C154, $X$5:$X$18, 0)), "VIP Match", "Standard")</f>
        <v/>
      </c>
    </row>
    <row r="155">
      <c r="A155" s="16" t="inlineStr">
        <is>
          <t>TXN-2151</t>
        </is>
      </c>
      <c r="B155" s="16" t="inlineStr">
        <is>
          <t>2026-05-16</t>
        </is>
      </c>
      <c r="C155" s="10" t="inlineStr">
        <is>
          <t>Customer 032</t>
        </is>
      </c>
      <c r="D155" s="10" t="inlineStr">
        <is>
          <t>Wholesale</t>
        </is>
      </c>
      <c r="E155" s="10" t="inlineStr">
        <is>
          <t>East</t>
        </is>
      </c>
      <c r="F155" s="10" t="inlineStr">
        <is>
          <t>Cloud Intelligence Suite</t>
        </is>
      </c>
      <c r="G155" s="10">
        <f>UPPER(LEFT(F155, 3)) &amp; "-" &amp; TEXT(LEN(F155), "00")</f>
        <v/>
      </c>
      <c r="H155" s="10" t="n">
        <v>28</v>
      </c>
      <c r="I155" s="17" t="n">
        <v>230.22</v>
      </c>
      <c r="J155" s="17">
        <f>H155*I155</f>
        <v/>
      </c>
      <c r="K155" s="18" t="n">
        <v>0.2</v>
      </c>
      <c r="L155" s="17">
        <f>J155*K155</f>
        <v/>
      </c>
      <c r="M155" s="17">
        <f>J155-L155</f>
        <v/>
      </c>
      <c r="N155" s="17">
        <f>J155*0.61</f>
        <v/>
      </c>
      <c r="O155" s="17">
        <f>M155-N155</f>
        <v/>
      </c>
      <c r="P155" s="18">
        <f>O155/M155</f>
        <v/>
      </c>
      <c r="Q155" s="16" t="inlineStr">
        <is>
          <t>2026-05-16</t>
        </is>
      </c>
      <c r="R155" s="16" t="inlineStr">
        <is>
          <t>2026-05-26</t>
        </is>
      </c>
      <c r="S155" s="10">
        <f>DATEDIF(Q155, R155, "d")</f>
        <v/>
      </c>
      <c r="T155" s="19">
        <f>EOMONTH(Q155, 0)</f>
        <v/>
      </c>
      <c r="U155" s="20">
        <f>NOW()</f>
        <v/>
      </c>
      <c r="V155" s="10">
        <f>IF(ISNUMBER(MATCH(C155, $X$5:$X$18, 0)), "VIP Match", "Standard")</f>
        <v/>
      </c>
    </row>
    <row r="156">
      <c r="A156" s="16" t="inlineStr">
        <is>
          <t>TXN-2152</t>
        </is>
      </c>
      <c r="B156" s="16" t="inlineStr">
        <is>
          <t>2026-04-12</t>
        </is>
      </c>
      <c r="C156" s="10" t="inlineStr">
        <is>
          <t>Customer 043</t>
        </is>
      </c>
      <c r="D156" s="10" t="inlineStr">
        <is>
          <t>Enterprise</t>
        </is>
      </c>
      <c r="E156" s="10" t="inlineStr">
        <is>
          <t>North</t>
        </is>
      </c>
      <c r="F156" s="10" t="inlineStr">
        <is>
          <t>Data Vault Ultra</t>
        </is>
      </c>
      <c r="G156" s="10">
        <f>UPPER(LEFT(F156, 3)) &amp; "-" &amp; TEXT(LEN(F156), "00")</f>
        <v/>
      </c>
      <c r="H156" s="10" t="n">
        <v>100</v>
      </c>
      <c r="I156" s="17" t="n">
        <v>200.09</v>
      </c>
      <c r="J156" s="17">
        <f>H156*I156</f>
        <v/>
      </c>
      <c r="K156" s="18" t="n">
        <v>0.15</v>
      </c>
      <c r="L156" s="17">
        <f>J156*K156</f>
        <v/>
      </c>
      <c r="M156" s="17">
        <f>J156-L156</f>
        <v/>
      </c>
      <c r="N156" s="17">
        <f>J156*0.61</f>
        <v/>
      </c>
      <c r="O156" s="17">
        <f>M156-N156</f>
        <v/>
      </c>
      <c r="P156" s="18">
        <f>O156/M156</f>
        <v/>
      </c>
      <c r="Q156" s="16" t="inlineStr">
        <is>
          <t>2026-04-12</t>
        </is>
      </c>
      <c r="R156" s="16" t="inlineStr">
        <is>
          <t>2026-04-14</t>
        </is>
      </c>
      <c r="S156" s="10">
        <f>DATEDIF(Q156, R156, "d")</f>
        <v/>
      </c>
      <c r="T156" s="19">
        <f>EOMONTH(Q156, 0)</f>
        <v/>
      </c>
      <c r="U156" s="20">
        <f>NOW()</f>
        <v/>
      </c>
      <c r="V156" s="10">
        <f>IF(ISNUMBER(MATCH(C156, $X$5:$X$18, 0)), "VIP Match", "Standard")</f>
        <v/>
      </c>
    </row>
    <row r="157">
      <c r="A157" s="16" t="inlineStr">
        <is>
          <t>TXN-2153</t>
        </is>
      </c>
      <c r="B157" s="16" t="inlineStr">
        <is>
          <t>2026-04-01</t>
        </is>
      </c>
      <c r="C157" s="10" t="inlineStr">
        <is>
          <t>Customer 015</t>
        </is>
      </c>
      <c r="D157" s="10" t="inlineStr">
        <is>
          <t>Wholesale</t>
        </is>
      </c>
      <c r="E157" s="10" t="inlineStr">
        <is>
          <t>South</t>
        </is>
      </c>
      <c r="F157" s="10" t="inlineStr">
        <is>
          <t>Data Vault Ultra</t>
        </is>
      </c>
      <c r="G157" s="10">
        <f>UPPER(LEFT(F157, 3)) &amp; "-" &amp; TEXT(LEN(F157), "00")</f>
        <v/>
      </c>
      <c r="H157" s="10" t="n">
        <v>83</v>
      </c>
      <c r="I157" s="17" t="n">
        <v>427.24</v>
      </c>
      <c r="J157" s="17">
        <f>H157*I157</f>
        <v/>
      </c>
      <c r="K157" s="18" t="n">
        <v>0.2</v>
      </c>
      <c r="L157" s="17">
        <f>J157*K157</f>
        <v/>
      </c>
      <c r="M157" s="17">
        <f>J157-L157</f>
        <v/>
      </c>
      <c r="N157" s="17">
        <f>J157*0.45</f>
        <v/>
      </c>
      <c r="O157" s="17">
        <f>M157-N157</f>
        <v/>
      </c>
      <c r="P157" s="18">
        <f>O157/M157</f>
        <v/>
      </c>
      <c r="Q157" s="16" t="inlineStr">
        <is>
          <t>2026-04-01</t>
        </is>
      </c>
      <c r="R157" s="16" t="inlineStr">
        <is>
          <t>2026-04-14</t>
        </is>
      </c>
      <c r="S157" s="10">
        <f>DATEDIF(Q157, R157, "d")</f>
        <v/>
      </c>
      <c r="T157" s="19">
        <f>EOMONTH(Q157, 0)</f>
        <v/>
      </c>
      <c r="U157" s="20">
        <f>NOW()</f>
        <v/>
      </c>
      <c r="V157" s="10">
        <f>IF(ISNUMBER(MATCH(C157, $X$5:$X$18, 0)), "VIP Match", "Standard")</f>
        <v/>
      </c>
    </row>
    <row r="158">
      <c r="A158" s="16" t="inlineStr">
        <is>
          <t>TXN-2154</t>
        </is>
      </c>
      <c r="B158" s="16" t="inlineStr">
        <is>
          <t>2026-06-04</t>
        </is>
      </c>
      <c r="C158" s="10" t="inlineStr">
        <is>
          <t>Customer 005</t>
        </is>
      </c>
      <c r="D158" s="10" t="inlineStr">
        <is>
          <t>Corporate</t>
        </is>
      </c>
      <c r="E158" s="10" t="inlineStr">
        <is>
          <t>Central</t>
        </is>
      </c>
      <c r="F158" s="10" t="inlineStr">
        <is>
          <t>Smart Metrics Dashboard</t>
        </is>
      </c>
      <c r="G158" s="10">
        <f>UPPER(LEFT(F158, 3)) &amp; "-" &amp; TEXT(LEN(F158), "00")</f>
        <v/>
      </c>
      <c r="H158" s="10" t="n">
        <v>18</v>
      </c>
      <c r="I158" s="17" t="n">
        <v>245.54</v>
      </c>
      <c r="J158" s="17">
        <f>H158*I158</f>
        <v/>
      </c>
      <c r="K158" s="18" t="n">
        <v>0.2</v>
      </c>
      <c r="L158" s="17">
        <f>J158*K158</f>
        <v/>
      </c>
      <c r="M158" s="17">
        <f>J158-L158</f>
        <v/>
      </c>
      <c r="N158" s="17">
        <f>J158*0.58</f>
        <v/>
      </c>
      <c r="O158" s="17">
        <f>M158-N158</f>
        <v/>
      </c>
      <c r="P158" s="18">
        <f>O158/M158</f>
        <v/>
      </c>
      <c r="Q158" s="16" t="inlineStr">
        <is>
          <t>2026-06-04</t>
        </is>
      </c>
      <c r="R158" s="16" t="inlineStr">
        <is>
          <t>2026-06-15</t>
        </is>
      </c>
      <c r="S158" s="10">
        <f>DATEDIF(Q158, R158, "d")</f>
        <v/>
      </c>
      <c r="T158" s="19">
        <f>EOMONTH(Q158, 0)</f>
        <v/>
      </c>
      <c r="U158" s="20">
        <f>NOW()</f>
        <v/>
      </c>
      <c r="V158" s="10">
        <f>IF(ISNUMBER(MATCH(C158, $X$5:$X$18, 0)), "VIP Match", "Standard")</f>
        <v/>
      </c>
    </row>
    <row r="159">
      <c r="A159" s="16" t="inlineStr">
        <is>
          <t>TXN-2155</t>
        </is>
      </c>
      <c r="B159" s="16" t="inlineStr">
        <is>
          <t>2026-01-20</t>
        </is>
      </c>
      <c r="C159" s="10" t="inlineStr">
        <is>
          <t>Customer 025</t>
        </is>
      </c>
      <c r="D159" s="10" t="inlineStr">
        <is>
          <t>Retail</t>
        </is>
      </c>
      <c r="E159" s="10" t="inlineStr">
        <is>
          <t>West</t>
        </is>
      </c>
      <c r="F159" s="10" t="inlineStr">
        <is>
          <t>Enterprise Analytics Pro</t>
        </is>
      </c>
      <c r="G159" s="10">
        <f>UPPER(LEFT(F159, 3)) &amp; "-" &amp; TEXT(LEN(F159), "00")</f>
        <v/>
      </c>
      <c r="H159" s="10" t="n">
        <v>25</v>
      </c>
      <c r="I159" s="17" t="n">
        <v>365.27</v>
      </c>
      <c r="J159" s="17">
        <f>H159*I159</f>
        <v/>
      </c>
      <c r="K159" s="18" t="n">
        <v>0.1</v>
      </c>
      <c r="L159" s="17">
        <f>J159*K159</f>
        <v/>
      </c>
      <c r="M159" s="17">
        <f>J159-L159</f>
        <v/>
      </c>
      <c r="N159" s="17">
        <f>J159*0.56</f>
        <v/>
      </c>
      <c r="O159" s="17">
        <f>M159-N159</f>
        <v/>
      </c>
      <c r="P159" s="18">
        <f>O159/M159</f>
        <v/>
      </c>
      <c r="Q159" s="16" t="inlineStr">
        <is>
          <t>2026-01-20</t>
        </is>
      </c>
      <c r="R159" s="16" t="inlineStr">
        <is>
          <t>2026-01-26</t>
        </is>
      </c>
      <c r="S159" s="10">
        <f>DATEDIF(Q159, R159, "d")</f>
        <v/>
      </c>
      <c r="T159" s="19">
        <f>EOMONTH(Q159, 0)</f>
        <v/>
      </c>
      <c r="U159" s="20">
        <f>NOW()</f>
        <v/>
      </c>
      <c r="V159" s="10">
        <f>IF(ISNUMBER(MATCH(C159, $X$5:$X$18, 0)), "VIP Match", "Standard")</f>
        <v/>
      </c>
    </row>
    <row r="160">
      <c r="A160" s="16" t="inlineStr">
        <is>
          <t>TXN-2156</t>
        </is>
      </c>
      <c r="B160" s="16" t="inlineStr">
        <is>
          <t>2026-03-24</t>
        </is>
      </c>
      <c r="C160" s="10" t="inlineStr">
        <is>
          <t>Customer 041</t>
        </is>
      </c>
      <c r="D160" s="10" t="inlineStr">
        <is>
          <t>Enterprise</t>
        </is>
      </c>
      <c r="E160" s="10" t="inlineStr">
        <is>
          <t>South</t>
        </is>
      </c>
      <c r="F160" s="10" t="inlineStr">
        <is>
          <t>AI Insights Engine</t>
        </is>
      </c>
      <c r="G160" s="10">
        <f>UPPER(LEFT(F160, 3)) &amp; "-" &amp; TEXT(LEN(F160), "00")</f>
        <v/>
      </c>
      <c r="H160" s="10" t="n">
        <v>73</v>
      </c>
      <c r="I160" s="17" t="n">
        <v>140.8</v>
      </c>
      <c r="J160" s="17">
        <f>H160*I160</f>
        <v/>
      </c>
      <c r="K160" s="18" t="n">
        <v>0.2</v>
      </c>
      <c r="L160" s="17">
        <f>J160*K160</f>
        <v/>
      </c>
      <c r="M160" s="17">
        <f>J160-L160</f>
        <v/>
      </c>
      <c r="N160" s="17">
        <f>J160*0.54</f>
        <v/>
      </c>
      <c r="O160" s="17">
        <f>M160-N160</f>
        <v/>
      </c>
      <c r="P160" s="18">
        <f>O160/M160</f>
        <v/>
      </c>
      <c r="Q160" s="16" t="inlineStr">
        <is>
          <t>2026-03-24</t>
        </is>
      </c>
      <c r="R160" s="16" t="inlineStr">
        <is>
          <t>2026-03-31</t>
        </is>
      </c>
      <c r="S160" s="10">
        <f>DATEDIF(Q160, R160, "d")</f>
        <v/>
      </c>
      <c r="T160" s="19">
        <f>EOMONTH(Q160, 0)</f>
        <v/>
      </c>
      <c r="U160" s="20">
        <f>NOW()</f>
        <v/>
      </c>
      <c r="V160" s="10">
        <f>IF(ISNUMBER(MATCH(C160, $X$5:$X$18, 0)), "VIP Match", "Standard")</f>
        <v/>
      </c>
    </row>
    <row r="161">
      <c r="A161" s="16" t="inlineStr">
        <is>
          <t>TXN-2157</t>
        </is>
      </c>
      <c r="B161" s="16" t="inlineStr">
        <is>
          <t>2026-01-03</t>
        </is>
      </c>
      <c r="C161" s="10" t="inlineStr">
        <is>
          <t>Customer 038</t>
        </is>
      </c>
      <c r="D161" s="10" t="inlineStr">
        <is>
          <t>Corporate</t>
        </is>
      </c>
      <c r="E161" s="10" t="inlineStr">
        <is>
          <t>East</t>
        </is>
      </c>
      <c r="F161" s="10" t="inlineStr">
        <is>
          <t>AI Insights Engine</t>
        </is>
      </c>
      <c r="G161" s="10">
        <f>UPPER(LEFT(F161, 3)) &amp; "-" &amp; TEXT(LEN(F161), "00")</f>
        <v/>
      </c>
      <c r="H161" s="10" t="n">
        <v>108</v>
      </c>
      <c r="I161" s="17" t="n">
        <v>169.75</v>
      </c>
      <c r="J161" s="17">
        <f>H161*I161</f>
        <v/>
      </c>
      <c r="K161" s="18" t="n">
        <v>0.05</v>
      </c>
      <c r="L161" s="17">
        <f>J161*K161</f>
        <v/>
      </c>
      <c r="M161" s="17">
        <f>J161-L161</f>
        <v/>
      </c>
      <c r="N161" s="17">
        <f>J161*0.48</f>
        <v/>
      </c>
      <c r="O161" s="17">
        <f>M161-N161</f>
        <v/>
      </c>
      <c r="P161" s="18">
        <f>O161/M161</f>
        <v/>
      </c>
      <c r="Q161" s="16" t="inlineStr">
        <is>
          <t>2026-01-03</t>
        </is>
      </c>
      <c r="R161" s="16" t="inlineStr">
        <is>
          <t>2026-01-11</t>
        </is>
      </c>
      <c r="S161" s="10">
        <f>DATEDIF(Q161, R161, "d")</f>
        <v/>
      </c>
      <c r="T161" s="19">
        <f>EOMONTH(Q161, 0)</f>
        <v/>
      </c>
      <c r="U161" s="20">
        <f>NOW()</f>
        <v/>
      </c>
      <c r="V161" s="10">
        <f>IF(ISNUMBER(MATCH(C161, $X$5:$X$18, 0)), "VIP Match", "Standard")</f>
        <v/>
      </c>
    </row>
    <row r="162">
      <c r="A162" s="16" t="inlineStr">
        <is>
          <t>TXN-2158</t>
        </is>
      </c>
      <c r="B162" s="16" t="inlineStr">
        <is>
          <t>2026-04-21</t>
        </is>
      </c>
      <c r="C162" s="10" t="inlineStr">
        <is>
          <t>Customer 047</t>
        </is>
      </c>
      <c r="D162" s="10" t="inlineStr">
        <is>
          <t>Corporate</t>
        </is>
      </c>
      <c r="E162" s="10" t="inlineStr">
        <is>
          <t>West</t>
        </is>
      </c>
      <c r="F162" s="10" t="inlineStr">
        <is>
          <t>Data Vault Ultra</t>
        </is>
      </c>
      <c r="G162" s="10">
        <f>UPPER(LEFT(F162, 3)) &amp; "-" &amp; TEXT(LEN(F162), "00")</f>
        <v/>
      </c>
      <c r="H162" s="10" t="n">
        <v>16</v>
      </c>
      <c r="I162" s="17" t="n">
        <v>299.55</v>
      </c>
      <c r="J162" s="17">
        <f>H162*I162</f>
        <v/>
      </c>
      <c r="K162" s="18" t="n">
        <v>0.15</v>
      </c>
      <c r="L162" s="17">
        <f>J162*K162</f>
        <v/>
      </c>
      <c r="M162" s="17">
        <f>J162-L162</f>
        <v/>
      </c>
      <c r="N162" s="17">
        <f>J162*0.64</f>
        <v/>
      </c>
      <c r="O162" s="17">
        <f>M162-N162</f>
        <v/>
      </c>
      <c r="P162" s="18">
        <f>O162/M162</f>
        <v/>
      </c>
      <c r="Q162" s="16" t="inlineStr">
        <is>
          <t>2026-04-21</t>
        </is>
      </c>
      <c r="R162" s="16" t="inlineStr">
        <is>
          <t>2026-04-24</t>
        </is>
      </c>
      <c r="S162" s="10">
        <f>DATEDIF(Q162, R162, "d")</f>
        <v/>
      </c>
      <c r="T162" s="19">
        <f>EOMONTH(Q162, 0)</f>
        <v/>
      </c>
      <c r="U162" s="20">
        <f>NOW()</f>
        <v/>
      </c>
      <c r="V162" s="10">
        <f>IF(ISNUMBER(MATCH(C162, $X$5:$X$18, 0)), "VIP Match", "Standard")</f>
        <v/>
      </c>
    </row>
    <row r="163">
      <c r="A163" s="16" t="inlineStr">
        <is>
          <t>TXN-2159</t>
        </is>
      </c>
      <c r="B163" s="16" t="inlineStr">
        <is>
          <t>2026-05-15</t>
        </is>
      </c>
      <c r="C163" s="10" t="inlineStr">
        <is>
          <t>Customer 014</t>
        </is>
      </c>
      <c r="D163" s="10" t="inlineStr">
        <is>
          <t>Wholesale</t>
        </is>
      </c>
      <c r="E163" s="10" t="inlineStr">
        <is>
          <t>South</t>
        </is>
      </c>
      <c r="F163" s="10" t="inlineStr">
        <is>
          <t>Cloud Intelligence Suite</t>
        </is>
      </c>
      <c r="G163" s="10">
        <f>UPPER(LEFT(F163, 3)) &amp; "-" &amp; TEXT(LEN(F163), "00")</f>
        <v/>
      </c>
      <c r="H163" s="10" t="n">
        <v>9</v>
      </c>
      <c r="I163" s="17" t="n">
        <v>120.56</v>
      </c>
      <c r="J163" s="17">
        <f>H163*I163</f>
        <v/>
      </c>
      <c r="K163" s="18" t="n">
        <v>0.05</v>
      </c>
      <c r="L163" s="17">
        <f>J163*K163</f>
        <v/>
      </c>
      <c r="M163" s="17">
        <f>J163-L163</f>
        <v/>
      </c>
      <c r="N163" s="17">
        <f>J163*0.62</f>
        <v/>
      </c>
      <c r="O163" s="17">
        <f>M163-N163</f>
        <v/>
      </c>
      <c r="P163" s="18">
        <f>O163/M163</f>
        <v/>
      </c>
      <c r="Q163" s="16" t="inlineStr">
        <is>
          <t>2026-05-15</t>
        </is>
      </c>
      <c r="R163" s="16" t="inlineStr">
        <is>
          <t>2026-05-19</t>
        </is>
      </c>
      <c r="S163" s="10">
        <f>DATEDIF(Q163, R163, "d")</f>
        <v/>
      </c>
      <c r="T163" s="19">
        <f>EOMONTH(Q163, 0)</f>
        <v/>
      </c>
      <c r="U163" s="20">
        <f>NOW()</f>
        <v/>
      </c>
      <c r="V163" s="10">
        <f>IF(ISNUMBER(MATCH(C163, $X$5:$X$18, 0)), "VIP Match", "Standard")</f>
        <v/>
      </c>
    </row>
    <row r="164">
      <c r="A164" s="16" t="inlineStr">
        <is>
          <t>TXN-2160</t>
        </is>
      </c>
      <c r="B164" s="16" t="inlineStr">
        <is>
          <t>2026-05-13</t>
        </is>
      </c>
      <c r="C164" s="10" t="inlineStr">
        <is>
          <t>Customer 002</t>
        </is>
      </c>
      <c r="D164" s="10" t="inlineStr">
        <is>
          <t>Corporate</t>
        </is>
      </c>
      <c r="E164" s="10" t="inlineStr">
        <is>
          <t>West</t>
        </is>
      </c>
      <c r="F164" s="10" t="inlineStr">
        <is>
          <t>Cloud Intelligence Suite</t>
        </is>
      </c>
      <c r="G164" s="10">
        <f>UPPER(LEFT(F164, 3)) &amp; "-" &amp; TEXT(LEN(F164), "00")</f>
        <v/>
      </c>
      <c r="H164" s="10" t="n">
        <v>119</v>
      </c>
      <c r="I164" s="17" t="n">
        <v>474.48</v>
      </c>
      <c r="J164" s="17">
        <f>H164*I164</f>
        <v/>
      </c>
      <c r="K164" s="18" t="n">
        <v>0.05</v>
      </c>
      <c r="L164" s="17">
        <f>J164*K164</f>
        <v/>
      </c>
      <c r="M164" s="17">
        <f>J164-L164</f>
        <v/>
      </c>
      <c r="N164" s="17">
        <f>J164*0.61</f>
        <v/>
      </c>
      <c r="O164" s="17">
        <f>M164-N164</f>
        <v/>
      </c>
      <c r="P164" s="18">
        <f>O164/M164</f>
        <v/>
      </c>
      <c r="Q164" s="16" t="inlineStr">
        <is>
          <t>2026-05-13</t>
        </is>
      </c>
      <c r="R164" s="16" t="inlineStr">
        <is>
          <t>2026-05-25</t>
        </is>
      </c>
      <c r="S164" s="10">
        <f>DATEDIF(Q164, R164, "d")</f>
        <v/>
      </c>
      <c r="T164" s="19">
        <f>EOMONTH(Q164, 0)</f>
        <v/>
      </c>
      <c r="U164" s="20">
        <f>NOW()</f>
        <v/>
      </c>
      <c r="V164" s="10">
        <f>IF(ISNUMBER(MATCH(C164, $X$5:$X$18, 0)), "VIP Match", "Standard")</f>
        <v/>
      </c>
    </row>
    <row r="165">
      <c r="A165" s="16" t="inlineStr">
        <is>
          <t>TXN-2161</t>
        </is>
      </c>
      <c r="B165" s="16" t="inlineStr">
        <is>
          <t>2026-06-05</t>
        </is>
      </c>
      <c r="C165" s="10" t="inlineStr">
        <is>
          <t>Customer 001</t>
        </is>
      </c>
      <c r="D165" s="10" t="inlineStr">
        <is>
          <t>Enterprise</t>
        </is>
      </c>
      <c r="E165" s="10" t="inlineStr">
        <is>
          <t>South</t>
        </is>
      </c>
      <c r="F165" s="10" t="inlineStr">
        <is>
          <t>Data Vault Ultra</t>
        </is>
      </c>
      <c r="G165" s="10">
        <f>UPPER(LEFT(F165, 3)) &amp; "-" &amp; TEXT(LEN(F165), "00")</f>
        <v/>
      </c>
      <c r="H165" s="10" t="n">
        <v>18</v>
      </c>
      <c r="I165" s="17" t="n">
        <v>362.77</v>
      </c>
      <c r="J165" s="17">
        <f>H165*I165</f>
        <v/>
      </c>
      <c r="K165" s="18" t="n">
        <v>0.05</v>
      </c>
      <c r="L165" s="17">
        <f>J165*K165</f>
        <v/>
      </c>
      <c r="M165" s="17">
        <f>J165-L165</f>
        <v/>
      </c>
      <c r="N165" s="17">
        <f>J165*0.54</f>
        <v/>
      </c>
      <c r="O165" s="17">
        <f>M165-N165</f>
        <v/>
      </c>
      <c r="P165" s="18">
        <f>O165/M165</f>
        <v/>
      </c>
      <c r="Q165" s="16" t="inlineStr">
        <is>
          <t>2026-06-05</t>
        </is>
      </c>
      <c r="R165" s="16" t="inlineStr">
        <is>
          <t>2026-06-17</t>
        </is>
      </c>
      <c r="S165" s="10">
        <f>DATEDIF(Q165, R165, "d")</f>
        <v/>
      </c>
      <c r="T165" s="19">
        <f>EOMONTH(Q165, 0)</f>
        <v/>
      </c>
      <c r="U165" s="20">
        <f>NOW()</f>
        <v/>
      </c>
      <c r="V165" s="10">
        <f>IF(ISNUMBER(MATCH(C165, $X$5:$X$18, 0)), "VIP Match", "Standard")</f>
        <v/>
      </c>
    </row>
    <row r="166">
      <c r="A166" s="16" t="inlineStr">
        <is>
          <t>TXN-2162</t>
        </is>
      </c>
      <c r="B166" s="16" t="inlineStr">
        <is>
          <t>2026-04-04</t>
        </is>
      </c>
      <c r="C166" s="10" t="inlineStr">
        <is>
          <t>Customer 016</t>
        </is>
      </c>
      <c r="D166" s="10" t="inlineStr">
        <is>
          <t>Retail</t>
        </is>
      </c>
      <c r="E166" s="10" t="inlineStr">
        <is>
          <t>Central</t>
        </is>
      </c>
      <c r="F166" s="10" t="inlineStr">
        <is>
          <t>Cloud Intelligence Suite</t>
        </is>
      </c>
      <c r="G166" s="10">
        <f>UPPER(LEFT(F166, 3)) &amp; "-" &amp; TEXT(LEN(F166), "00")</f>
        <v/>
      </c>
      <c r="H166" s="10" t="n">
        <v>46</v>
      </c>
      <c r="I166" s="17" t="n">
        <v>254.59</v>
      </c>
      <c r="J166" s="17">
        <f>H166*I166</f>
        <v/>
      </c>
      <c r="K166" s="18" t="n">
        <v>0</v>
      </c>
      <c r="L166" s="17">
        <f>J166*K166</f>
        <v/>
      </c>
      <c r="M166" s="17">
        <f>J166-L166</f>
        <v/>
      </c>
      <c r="N166" s="17">
        <f>J166*0.60</f>
        <v/>
      </c>
      <c r="O166" s="17">
        <f>M166-N166</f>
        <v/>
      </c>
      <c r="P166" s="18">
        <f>O166/M166</f>
        <v/>
      </c>
      <c r="Q166" s="16" t="inlineStr">
        <is>
          <t>2026-04-04</t>
        </is>
      </c>
      <c r="R166" s="16" t="inlineStr">
        <is>
          <t>2026-04-05</t>
        </is>
      </c>
      <c r="S166" s="10">
        <f>DATEDIF(Q166, R166, "d")</f>
        <v/>
      </c>
      <c r="T166" s="19">
        <f>EOMONTH(Q166, 0)</f>
        <v/>
      </c>
      <c r="U166" s="20">
        <f>NOW()</f>
        <v/>
      </c>
      <c r="V166" s="10">
        <f>IF(ISNUMBER(MATCH(C166, $X$5:$X$18, 0)), "VIP Match", "Standard")</f>
        <v/>
      </c>
    </row>
    <row r="167">
      <c r="A167" s="16" t="inlineStr">
        <is>
          <t>TXN-2163</t>
        </is>
      </c>
      <c r="B167" s="16" t="inlineStr">
        <is>
          <t>2026-01-14</t>
        </is>
      </c>
      <c r="C167" s="10" t="inlineStr">
        <is>
          <t>Customer 049</t>
        </is>
      </c>
      <c r="D167" s="10" t="inlineStr">
        <is>
          <t>Retail</t>
        </is>
      </c>
      <c r="E167" s="10" t="inlineStr">
        <is>
          <t>North</t>
        </is>
      </c>
      <c r="F167" s="10" t="inlineStr">
        <is>
          <t>Cloud Intelligence Suite</t>
        </is>
      </c>
      <c r="G167" s="10">
        <f>UPPER(LEFT(F167, 3)) &amp; "-" &amp; TEXT(LEN(F167), "00")</f>
        <v/>
      </c>
      <c r="H167" s="10" t="n">
        <v>50</v>
      </c>
      <c r="I167" s="17" t="n">
        <v>349.03</v>
      </c>
      <c r="J167" s="17">
        <f>H167*I167</f>
        <v/>
      </c>
      <c r="K167" s="18" t="n">
        <v>0.15</v>
      </c>
      <c r="L167" s="17">
        <f>J167*K167</f>
        <v/>
      </c>
      <c r="M167" s="17">
        <f>J167-L167</f>
        <v/>
      </c>
      <c r="N167" s="17">
        <f>J167*0.49</f>
        <v/>
      </c>
      <c r="O167" s="17">
        <f>M167-N167</f>
        <v/>
      </c>
      <c r="P167" s="18">
        <f>O167/M167</f>
        <v/>
      </c>
      <c r="Q167" s="16" t="inlineStr">
        <is>
          <t>2026-01-14</t>
        </is>
      </c>
      <c r="R167" s="16" t="inlineStr">
        <is>
          <t>2026-01-20</t>
        </is>
      </c>
      <c r="S167" s="10">
        <f>DATEDIF(Q167, R167, "d")</f>
        <v/>
      </c>
      <c r="T167" s="19">
        <f>EOMONTH(Q167, 0)</f>
        <v/>
      </c>
      <c r="U167" s="20">
        <f>NOW()</f>
        <v/>
      </c>
      <c r="V167" s="10">
        <f>IF(ISNUMBER(MATCH(C167, $X$5:$X$18, 0)), "VIP Match", "Standard")</f>
        <v/>
      </c>
    </row>
    <row r="168">
      <c r="A168" s="16" t="inlineStr">
        <is>
          <t>TXN-2164</t>
        </is>
      </c>
      <c r="B168" s="16" t="inlineStr">
        <is>
          <t>2026-04-23</t>
        </is>
      </c>
      <c r="C168" s="10" t="inlineStr">
        <is>
          <t>Customer 040</t>
        </is>
      </c>
      <c r="D168" s="10" t="inlineStr">
        <is>
          <t>Corporate</t>
        </is>
      </c>
      <c r="E168" s="10" t="inlineStr">
        <is>
          <t>North</t>
        </is>
      </c>
      <c r="F168" s="10" t="inlineStr">
        <is>
          <t>Enterprise Analytics Pro</t>
        </is>
      </c>
      <c r="G168" s="10">
        <f>UPPER(LEFT(F168, 3)) &amp; "-" &amp; TEXT(LEN(F168), "00")</f>
        <v/>
      </c>
      <c r="H168" s="10" t="n">
        <v>106</v>
      </c>
      <c r="I168" s="17" t="n">
        <v>452.46</v>
      </c>
      <c r="J168" s="17">
        <f>H168*I168</f>
        <v/>
      </c>
      <c r="K168" s="18" t="n">
        <v>0.15</v>
      </c>
      <c r="L168" s="17">
        <f>J168*K168</f>
        <v/>
      </c>
      <c r="M168" s="17">
        <f>J168-L168</f>
        <v/>
      </c>
      <c r="N168" s="17">
        <f>J168*0.51</f>
        <v/>
      </c>
      <c r="O168" s="17">
        <f>M168-N168</f>
        <v/>
      </c>
      <c r="P168" s="18">
        <f>O168/M168</f>
        <v/>
      </c>
      <c r="Q168" s="16" t="inlineStr">
        <is>
          <t>2026-04-23</t>
        </is>
      </c>
      <c r="R168" s="16" t="inlineStr">
        <is>
          <t>2026-05-05</t>
        </is>
      </c>
      <c r="S168" s="10">
        <f>DATEDIF(Q168, R168, "d")</f>
        <v/>
      </c>
      <c r="T168" s="19">
        <f>EOMONTH(Q168, 0)</f>
        <v/>
      </c>
      <c r="U168" s="20">
        <f>NOW()</f>
        <v/>
      </c>
      <c r="V168" s="10">
        <f>IF(ISNUMBER(MATCH(C168, $X$5:$X$18, 0)), "VIP Match", "Standard")</f>
        <v/>
      </c>
    </row>
    <row r="169">
      <c r="A169" s="16" t="inlineStr">
        <is>
          <t>TXN-2165</t>
        </is>
      </c>
      <c r="B169" s="16" t="inlineStr">
        <is>
          <t>2026-02-28</t>
        </is>
      </c>
      <c r="C169" s="10" t="inlineStr">
        <is>
          <t>Customer 048</t>
        </is>
      </c>
      <c r="D169" s="10" t="inlineStr">
        <is>
          <t>Wholesale</t>
        </is>
      </c>
      <c r="E169" s="10" t="inlineStr">
        <is>
          <t>West</t>
        </is>
      </c>
      <c r="F169" s="10" t="inlineStr">
        <is>
          <t>AI Insights Engine</t>
        </is>
      </c>
      <c r="G169" s="10">
        <f>UPPER(LEFT(F169, 3)) &amp; "-" &amp; TEXT(LEN(F169), "00")</f>
        <v/>
      </c>
      <c r="H169" s="10" t="n">
        <v>64</v>
      </c>
      <c r="I169" s="17" t="n">
        <v>117.63</v>
      </c>
      <c r="J169" s="17">
        <f>H169*I169</f>
        <v/>
      </c>
      <c r="K169" s="18" t="n">
        <v>0.15</v>
      </c>
      <c r="L169" s="17">
        <f>J169*K169</f>
        <v/>
      </c>
      <c r="M169" s="17">
        <f>J169-L169</f>
        <v/>
      </c>
      <c r="N169" s="17">
        <f>J169*0.49</f>
        <v/>
      </c>
      <c r="O169" s="17">
        <f>M169-N169</f>
        <v/>
      </c>
      <c r="P169" s="18">
        <f>O169/M169</f>
        <v/>
      </c>
      <c r="Q169" s="16" t="inlineStr">
        <is>
          <t>2026-02-28</t>
        </is>
      </c>
      <c r="R169" s="16" t="inlineStr">
        <is>
          <t>2026-03-12</t>
        </is>
      </c>
      <c r="S169" s="10">
        <f>DATEDIF(Q169, R169, "d")</f>
        <v/>
      </c>
      <c r="T169" s="19">
        <f>EOMONTH(Q169, 0)</f>
        <v/>
      </c>
      <c r="U169" s="20">
        <f>NOW()</f>
        <v/>
      </c>
      <c r="V169" s="10">
        <f>IF(ISNUMBER(MATCH(C169, $X$5:$X$18, 0)), "VIP Match", "Standard")</f>
        <v/>
      </c>
    </row>
    <row r="170">
      <c r="A170" s="16" t="inlineStr">
        <is>
          <t>TXN-2166</t>
        </is>
      </c>
      <c r="B170" s="16" t="inlineStr">
        <is>
          <t>2026-02-10</t>
        </is>
      </c>
      <c r="C170" s="10" t="inlineStr">
        <is>
          <t>Customer 020</t>
        </is>
      </c>
      <c r="D170" s="10" t="inlineStr">
        <is>
          <t>Retail</t>
        </is>
      </c>
      <c r="E170" s="10" t="inlineStr">
        <is>
          <t>South</t>
        </is>
      </c>
      <c r="F170" s="10" t="inlineStr">
        <is>
          <t>AI Insights Engine</t>
        </is>
      </c>
      <c r="G170" s="10">
        <f>UPPER(LEFT(F170, 3)) &amp; "-" &amp; TEXT(LEN(F170), "00")</f>
        <v/>
      </c>
      <c r="H170" s="10" t="n">
        <v>82</v>
      </c>
      <c r="I170" s="17" t="n">
        <v>495.81</v>
      </c>
      <c r="J170" s="17">
        <f>H170*I170</f>
        <v/>
      </c>
      <c r="K170" s="18" t="n">
        <v>0.05</v>
      </c>
      <c r="L170" s="17">
        <f>J170*K170</f>
        <v/>
      </c>
      <c r="M170" s="17">
        <f>J170-L170</f>
        <v/>
      </c>
      <c r="N170" s="17">
        <f>J170*0.54</f>
        <v/>
      </c>
      <c r="O170" s="17">
        <f>M170-N170</f>
        <v/>
      </c>
      <c r="P170" s="18">
        <f>O170/M170</f>
        <v/>
      </c>
      <c r="Q170" s="16" t="inlineStr">
        <is>
          <t>2026-02-10</t>
        </is>
      </c>
      <c r="R170" s="16" t="inlineStr">
        <is>
          <t>2026-02-22</t>
        </is>
      </c>
      <c r="S170" s="10">
        <f>DATEDIF(Q170, R170, "d")</f>
        <v/>
      </c>
      <c r="T170" s="19">
        <f>EOMONTH(Q170, 0)</f>
        <v/>
      </c>
      <c r="U170" s="20">
        <f>NOW()</f>
        <v/>
      </c>
      <c r="V170" s="10">
        <f>IF(ISNUMBER(MATCH(C170, $X$5:$X$18, 0)), "VIP Match", "Standard")</f>
        <v/>
      </c>
    </row>
    <row r="171">
      <c r="A171" s="16" t="inlineStr">
        <is>
          <t>TXN-2167</t>
        </is>
      </c>
      <c r="B171" s="16" t="inlineStr">
        <is>
          <t>2026-03-26</t>
        </is>
      </c>
      <c r="C171" s="10" t="inlineStr">
        <is>
          <t>Customer 025</t>
        </is>
      </c>
      <c r="D171" s="10" t="inlineStr">
        <is>
          <t>Retail</t>
        </is>
      </c>
      <c r="E171" s="10" t="inlineStr">
        <is>
          <t>West</t>
        </is>
      </c>
      <c r="F171" s="10" t="inlineStr">
        <is>
          <t>Data Vault Ultra</t>
        </is>
      </c>
      <c r="G171" s="10">
        <f>UPPER(LEFT(F171, 3)) &amp; "-" &amp; TEXT(LEN(F171), "00")</f>
        <v/>
      </c>
      <c r="H171" s="10" t="n">
        <v>31</v>
      </c>
      <c r="I171" s="17" t="n">
        <v>153.6</v>
      </c>
      <c r="J171" s="17">
        <f>H171*I171</f>
        <v/>
      </c>
      <c r="K171" s="18" t="n">
        <v>0</v>
      </c>
      <c r="L171" s="17">
        <f>J171*K171</f>
        <v/>
      </c>
      <c r="M171" s="17">
        <f>J171-L171</f>
        <v/>
      </c>
      <c r="N171" s="17">
        <f>J171*0.51</f>
        <v/>
      </c>
      <c r="O171" s="17">
        <f>M171-N171</f>
        <v/>
      </c>
      <c r="P171" s="18">
        <f>O171/M171</f>
        <v/>
      </c>
      <c r="Q171" s="16" t="inlineStr">
        <is>
          <t>2026-03-26</t>
        </is>
      </c>
      <c r="R171" s="16" t="inlineStr">
        <is>
          <t>2026-04-03</t>
        </is>
      </c>
      <c r="S171" s="10">
        <f>DATEDIF(Q171, R171, "d")</f>
        <v/>
      </c>
      <c r="T171" s="19">
        <f>EOMONTH(Q171, 0)</f>
        <v/>
      </c>
      <c r="U171" s="20">
        <f>NOW()</f>
        <v/>
      </c>
      <c r="V171" s="10">
        <f>IF(ISNUMBER(MATCH(C171, $X$5:$X$18, 0)), "VIP Match", "Standard")</f>
        <v/>
      </c>
    </row>
    <row r="172">
      <c r="A172" s="16" t="inlineStr">
        <is>
          <t>TXN-2168</t>
        </is>
      </c>
      <c r="B172" s="16" t="inlineStr">
        <is>
          <t>2026-01-26</t>
        </is>
      </c>
      <c r="C172" s="10" t="inlineStr">
        <is>
          <t>Customer 007</t>
        </is>
      </c>
      <c r="D172" s="10" t="inlineStr">
        <is>
          <t>Retail</t>
        </is>
      </c>
      <c r="E172" s="10" t="inlineStr">
        <is>
          <t>North</t>
        </is>
      </c>
      <c r="F172" s="10" t="inlineStr">
        <is>
          <t>Data Vault Ultra</t>
        </is>
      </c>
      <c r="G172" s="10">
        <f>UPPER(LEFT(F172, 3)) &amp; "-" &amp; TEXT(LEN(F172), "00")</f>
        <v/>
      </c>
      <c r="H172" s="10" t="n">
        <v>42</v>
      </c>
      <c r="I172" s="17" t="n">
        <v>226.48</v>
      </c>
      <c r="J172" s="17">
        <f>H172*I172</f>
        <v/>
      </c>
      <c r="K172" s="18" t="n">
        <v>0</v>
      </c>
      <c r="L172" s="17">
        <f>J172*K172</f>
        <v/>
      </c>
      <c r="M172" s="17">
        <f>J172-L172</f>
        <v/>
      </c>
      <c r="N172" s="17">
        <f>J172*0.58</f>
        <v/>
      </c>
      <c r="O172" s="17">
        <f>M172-N172</f>
        <v/>
      </c>
      <c r="P172" s="18">
        <f>O172/M172</f>
        <v/>
      </c>
      <c r="Q172" s="16" t="inlineStr">
        <is>
          <t>2026-01-26</t>
        </is>
      </c>
      <c r="R172" s="16" t="inlineStr">
        <is>
          <t>2026-02-01</t>
        </is>
      </c>
      <c r="S172" s="10">
        <f>DATEDIF(Q172, R172, "d")</f>
        <v/>
      </c>
      <c r="T172" s="19">
        <f>EOMONTH(Q172, 0)</f>
        <v/>
      </c>
      <c r="U172" s="20">
        <f>NOW()</f>
        <v/>
      </c>
      <c r="V172" s="10">
        <f>IF(ISNUMBER(MATCH(C172, $X$5:$X$18, 0)), "VIP Match", "Standard")</f>
        <v/>
      </c>
    </row>
    <row r="173">
      <c r="A173" s="16" t="inlineStr">
        <is>
          <t>TXN-2169</t>
        </is>
      </c>
      <c r="B173" s="16" t="inlineStr">
        <is>
          <t>2026-06-17</t>
        </is>
      </c>
      <c r="C173" s="10" t="inlineStr">
        <is>
          <t>Customer 004</t>
        </is>
      </c>
      <c r="D173" s="10" t="inlineStr">
        <is>
          <t>Corporate</t>
        </is>
      </c>
      <c r="E173" s="10" t="inlineStr">
        <is>
          <t>South</t>
        </is>
      </c>
      <c r="F173" s="10" t="inlineStr">
        <is>
          <t>Smart Metrics Dashboard</t>
        </is>
      </c>
      <c r="G173" s="10">
        <f>UPPER(LEFT(F173, 3)) &amp; "-" &amp; TEXT(LEN(F173), "00")</f>
        <v/>
      </c>
      <c r="H173" s="10" t="n">
        <v>57</v>
      </c>
      <c r="I173" s="17" t="n">
        <v>78.43000000000001</v>
      </c>
      <c r="J173" s="17">
        <f>H173*I173</f>
        <v/>
      </c>
      <c r="K173" s="18" t="n">
        <v>0.05</v>
      </c>
      <c r="L173" s="17">
        <f>J173*K173</f>
        <v/>
      </c>
      <c r="M173" s="17">
        <f>J173-L173</f>
        <v/>
      </c>
      <c r="N173" s="17">
        <f>J173*0.48</f>
        <v/>
      </c>
      <c r="O173" s="17">
        <f>M173-N173</f>
        <v/>
      </c>
      <c r="P173" s="18">
        <f>O173/M173</f>
        <v/>
      </c>
      <c r="Q173" s="16" t="inlineStr">
        <is>
          <t>2026-06-17</t>
        </is>
      </c>
      <c r="R173" s="16" t="inlineStr">
        <is>
          <t>2026-06-22</t>
        </is>
      </c>
      <c r="S173" s="10">
        <f>DATEDIF(Q173, R173, "d")</f>
        <v/>
      </c>
      <c r="T173" s="19">
        <f>EOMONTH(Q173, 0)</f>
        <v/>
      </c>
      <c r="U173" s="20">
        <f>NOW()</f>
        <v/>
      </c>
      <c r="V173" s="10">
        <f>IF(ISNUMBER(MATCH(C173, $X$5:$X$18, 0)), "VIP Match", "Standard")</f>
        <v/>
      </c>
    </row>
    <row r="174">
      <c r="A174" s="16" t="inlineStr">
        <is>
          <t>TXN-2170</t>
        </is>
      </c>
      <c r="B174" s="16" t="inlineStr">
        <is>
          <t>2026-01-13</t>
        </is>
      </c>
      <c r="C174" s="10" t="inlineStr">
        <is>
          <t>Customer 046</t>
        </is>
      </c>
      <c r="D174" s="10" t="inlineStr">
        <is>
          <t>Enterprise</t>
        </is>
      </c>
      <c r="E174" s="10" t="inlineStr">
        <is>
          <t>South</t>
        </is>
      </c>
      <c r="F174" s="10" t="inlineStr">
        <is>
          <t>AI Insights Engine</t>
        </is>
      </c>
      <c r="G174" s="10">
        <f>UPPER(LEFT(F174, 3)) &amp; "-" &amp; TEXT(LEN(F174), "00")</f>
        <v/>
      </c>
      <c r="H174" s="10" t="n">
        <v>81</v>
      </c>
      <c r="I174" s="17" t="n">
        <v>53.45</v>
      </c>
      <c r="J174" s="17">
        <f>H174*I174</f>
        <v/>
      </c>
      <c r="K174" s="18" t="n">
        <v>0.15</v>
      </c>
      <c r="L174" s="17">
        <f>J174*K174</f>
        <v/>
      </c>
      <c r="M174" s="17">
        <f>J174-L174</f>
        <v/>
      </c>
      <c r="N174" s="17">
        <f>J174*0.63</f>
        <v/>
      </c>
      <c r="O174" s="17">
        <f>M174-N174</f>
        <v/>
      </c>
      <c r="P174" s="18">
        <f>O174/M174</f>
        <v/>
      </c>
      <c r="Q174" s="16" t="inlineStr">
        <is>
          <t>2026-01-13</t>
        </is>
      </c>
      <c r="R174" s="16" t="inlineStr">
        <is>
          <t>2026-01-16</t>
        </is>
      </c>
      <c r="S174" s="10">
        <f>DATEDIF(Q174, R174, "d")</f>
        <v/>
      </c>
      <c r="T174" s="19">
        <f>EOMONTH(Q174, 0)</f>
        <v/>
      </c>
      <c r="U174" s="20">
        <f>NOW()</f>
        <v/>
      </c>
      <c r="V174" s="10">
        <f>IF(ISNUMBER(MATCH(C174, $X$5:$X$18, 0)), "VIP Match", "Standard")</f>
        <v/>
      </c>
    </row>
    <row r="175">
      <c r="A175" s="16" t="inlineStr">
        <is>
          <t>TXN-2171</t>
        </is>
      </c>
      <c r="B175" s="16" t="inlineStr">
        <is>
          <t>2026-02-11</t>
        </is>
      </c>
      <c r="C175" s="10" t="inlineStr">
        <is>
          <t>Customer 007</t>
        </is>
      </c>
      <c r="D175" s="10" t="inlineStr">
        <is>
          <t>Corporate</t>
        </is>
      </c>
      <c r="E175" s="10" t="inlineStr">
        <is>
          <t>North</t>
        </is>
      </c>
      <c r="F175" s="10" t="inlineStr">
        <is>
          <t>AI Insights Engine</t>
        </is>
      </c>
      <c r="G175" s="10">
        <f>UPPER(LEFT(F175, 3)) &amp; "-" &amp; TEXT(LEN(F175), "00")</f>
        <v/>
      </c>
      <c r="H175" s="10" t="n">
        <v>59</v>
      </c>
      <c r="I175" s="17" t="n">
        <v>401.3</v>
      </c>
      <c r="J175" s="17">
        <f>H175*I175</f>
        <v/>
      </c>
      <c r="K175" s="18" t="n">
        <v>0.2</v>
      </c>
      <c r="L175" s="17">
        <f>J175*K175</f>
        <v/>
      </c>
      <c r="M175" s="17">
        <f>J175-L175</f>
        <v/>
      </c>
      <c r="N175" s="17">
        <f>J175*0.49</f>
        <v/>
      </c>
      <c r="O175" s="17">
        <f>M175-N175</f>
        <v/>
      </c>
      <c r="P175" s="18">
        <f>O175/M175</f>
        <v/>
      </c>
      <c r="Q175" s="16" t="inlineStr">
        <is>
          <t>2026-02-11</t>
        </is>
      </c>
      <c r="R175" s="16" t="inlineStr">
        <is>
          <t>2026-02-24</t>
        </is>
      </c>
      <c r="S175" s="10">
        <f>DATEDIF(Q175, R175, "d")</f>
        <v/>
      </c>
      <c r="T175" s="19">
        <f>EOMONTH(Q175, 0)</f>
        <v/>
      </c>
      <c r="U175" s="20">
        <f>NOW()</f>
        <v/>
      </c>
      <c r="V175" s="10">
        <f>IF(ISNUMBER(MATCH(C175, $X$5:$X$18, 0)), "VIP Match", "Standard")</f>
        <v/>
      </c>
    </row>
    <row r="176">
      <c r="A176" s="16" t="inlineStr">
        <is>
          <t>TXN-2172</t>
        </is>
      </c>
      <c r="B176" s="16" t="inlineStr">
        <is>
          <t>2026-01-08</t>
        </is>
      </c>
      <c r="C176" s="10" t="inlineStr">
        <is>
          <t>Customer 018</t>
        </is>
      </c>
      <c r="D176" s="10" t="inlineStr">
        <is>
          <t>Retail</t>
        </is>
      </c>
      <c r="E176" s="10" t="inlineStr">
        <is>
          <t>North</t>
        </is>
      </c>
      <c r="F176" s="10" t="inlineStr">
        <is>
          <t>Enterprise Analytics Pro</t>
        </is>
      </c>
      <c r="G176" s="10">
        <f>UPPER(LEFT(F176, 3)) &amp; "-" &amp; TEXT(LEN(F176), "00")</f>
        <v/>
      </c>
      <c r="H176" s="10" t="n">
        <v>68</v>
      </c>
      <c r="I176" s="17" t="n">
        <v>187.67</v>
      </c>
      <c r="J176" s="17">
        <f>H176*I176</f>
        <v/>
      </c>
      <c r="K176" s="18" t="n">
        <v>0.05</v>
      </c>
      <c r="L176" s="17">
        <f>J176*K176</f>
        <v/>
      </c>
      <c r="M176" s="17">
        <f>J176-L176</f>
        <v/>
      </c>
      <c r="N176" s="17">
        <f>J176*0.53</f>
        <v/>
      </c>
      <c r="O176" s="17">
        <f>M176-N176</f>
        <v/>
      </c>
      <c r="P176" s="18">
        <f>O176/M176</f>
        <v/>
      </c>
      <c r="Q176" s="16" t="inlineStr">
        <is>
          <t>2026-01-08</t>
        </is>
      </c>
      <c r="R176" s="16" t="inlineStr">
        <is>
          <t>2026-01-18</t>
        </is>
      </c>
      <c r="S176" s="10">
        <f>DATEDIF(Q176, R176, "d")</f>
        <v/>
      </c>
      <c r="T176" s="19">
        <f>EOMONTH(Q176, 0)</f>
        <v/>
      </c>
      <c r="U176" s="20">
        <f>NOW()</f>
        <v/>
      </c>
      <c r="V176" s="10">
        <f>IF(ISNUMBER(MATCH(C176, $X$5:$X$18, 0)), "VIP Match", "Standard")</f>
        <v/>
      </c>
    </row>
    <row r="177">
      <c r="A177" s="16" t="inlineStr">
        <is>
          <t>TXN-2173</t>
        </is>
      </c>
      <c r="B177" s="16" t="inlineStr">
        <is>
          <t>2026-01-21</t>
        </is>
      </c>
      <c r="C177" s="10" t="inlineStr">
        <is>
          <t>Customer 017</t>
        </is>
      </c>
      <c r="D177" s="10" t="inlineStr">
        <is>
          <t>Corporate</t>
        </is>
      </c>
      <c r="E177" s="10" t="inlineStr">
        <is>
          <t>West</t>
        </is>
      </c>
      <c r="F177" s="10" t="inlineStr">
        <is>
          <t>Cloud Intelligence Suite</t>
        </is>
      </c>
      <c r="G177" s="10">
        <f>UPPER(LEFT(F177, 3)) &amp; "-" &amp; TEXT(LEN(F177), "00")</f>
        <v/>
      </c>
      <c r="H177" s="10" t="n">
        <v>26</v>
      </c>
      <c r="I177" s="17" t="n">
        <v>359.43</v>
      </c>
      <c r="J177" s="17">
        <f>H177*I177</f>
        <v/>
      </c>
      <c r="K177" s="18" t="n">
        <v>0.05</v>
      </c>
      <c r="L177" s="17">
        <f>J177*K177</f>
        <v/>
      </c>
      <c r="M177" s="17">
        <f>J177-L177</f>
        <v/>
      </c>
      <c r="N177" s="17">
        <f>J177*0.50</f>
        <v/>
      </c>
      <c r="O177" s="17">
        <f>M177-N177</f>
        <v/>
      </c>
      <c r="P177" s="18">
        <f>O177/M177</f>
        <v/>
      </c>
      <c r="Q177" s="16" t="inlineStr">
        <is>
          <t>2026-01-21</t>
        </is>
      </c>
      <c r="R177" s="16" t="inlineStr">
        <is>
          <t>2026-02-02</t>
        </is>
      </c>
      <c r="S177" s="10">
        <f>DATEDIF(Q177, R177, "d")</f>
        <v/>
      </c>
      <c r="T177" s="19">
        <f>EOMONTH(Q177, 0)</f>
        <v/>
      </c>
      <c r="U177" s="20">
        <f>NOW()</f>
        <v/>
      </c>
      <c r="V177" s="10">
        <f>IF(ISNUMBER(MATCH(C177, $X$5:$X$18, 0)), "VIP Match", "Standard")</f>
        <v/>
      </c>
    </row>
    <row r="178">
      <c r="A178" s="16" t="inlineStr">
        <is>
          <t>TXN-2174</t>
        </is>
      </c>
      <c r="B178" s="16" t="inlineStr">
        <is>
          <t>2026-06-15</t>
        </is>
      </c>
      <c r="C178" s="10" t="inlineStr">
        <is>
          <t>Customer 046</t>
        </is>
      </c>
      <c r="D178" s="10" t="inlineStr">
        <is>
          <t>Wholesale</t>
        </is>
      </c>
      <c r="E178" s="10" t="inlineStr">
        <is>
          <t>South</t>
        </is>
      </c>
      <c r="F178" s="10" t="inlineStr">
        <is>
          <t>Smart Metrics Dashboard</t>
        </is>
      </c>
      <c r="G178" s="10">
        <f>UPPER(LEFT(F178, 3)) &amp; "-" &amp; TEXT(LEN(F178), "00")</f>
        <v/>
      </c>
      <c r="H178" s="10" t="n">
        <v>93</v>
      </c>
      <c r="I178" s="17" t="n">
        <v>461.48</v>
      </c>
      <c r="J178" s="17">
        <f>H178*I178</f>
        <v/>
      </c>
      <c r="K178" s="18" t="n">
        <v>0.15</v>
      </c>
      <c r="L178" s="17">
        <f>J178*K178</f>
        <v/>
      </c>
      <c r="M178" s="17">
        <f>J178-L178</f>
        <v/>
      </c>
      <c r="N178" s="17">
        <f>J178*0.52</f>
        <v/>
      </c>
      <c r="O178" s="17">
        <f>M178-N178</f>
        <v/>
      </c>
      <c r="P178" s="18">
        <f>O178/M178</f>
        <v/>
      </c>
      <c r="Q178" s="16" t="inlineStr">
        <is>
          <t>2026-06-15</t>
        </is>
      </c>
      <c r="R178" s="16" t="inlineStr">
        <is>
          <t>2026-06-27</t>
        </is>
      </c>
      <c r="S178" s="10">
        <f>DATEDIF(Q178, R178, "d")</f>
        <v/>
      </c>
      <c r="T178" s="19">
        <f>EOMONTH(Q178, 0)</f>
        <v/>
      </c>
      <c r="U178" s="20">
        <f>NOW()</f>
        <v/>
      </c>
      <c r="V178" s="10">
        <f>IF(ISNUMBER(MATCH(C178, $X$5:$X$18, 0)), "VIP Match", "Standard")</f>
        <v/>
      </c>
    </row>
    <row r="179">
      <c r="A179" s="16" t="inlineStr">
        <is>
          <t>TXN-2175</t>
        </is>
      </c>
      <c r="B179" s="16" t="inlineStr">
        <is>
          <t>2026-04-21</t>
        </is>
      </c>
      <c r="C179" s="10" t="inlineStr">
        <is>
          <t>Customer 017</t>
        </is>
      </c>
      <c r="D179" s="10" t="inlineStr">
        <is>
          <t>Corporate</t>
        </is>
      </c>
      <c r="E179" s="10" t="inlineStr">
        <is>
          <t>North</t>
        </is>
      </c>
      <c r="F179" s="10" t="inlineStr">
        <is>
          <t>Data Vault Ultra</t>
        </is>
      </c>
      <c r="G179" s="10">
        <f>UPPER(LEFT(F179, 3)) &amp; "-" &amp; TEXT(LEN(F179), "00")</f>
        <v/>
      </c>
      <c r="H179" s="10" t="n">
        <v>56</v>
      </c>
      <c r="I179" s="17" t="n">
        <v>108.05</v>
      </c>
      <c r="J179" s="17">
        <f>H179*I179</f>
        <v/>
      </c>
      <c r="K179" s="18" t="n">
        <v>0.2</v>
      </c>
      <c r="L179" s="17">
        <f>J179*K179</f>
        <v/>
      </c>
      <c r="M179" s="17">
        <f>J179-L179</f>
        <v/>
      </c>
      <c r="N179" s="17">
        <f>J179*0.57</f>
        <v/>
      </c>
      <c r="O179" s="17">
        <f>M179-N179</f>
        <v/>
      </c>
      <c r="P179" s="18">
        <f>O179/M179</f>
        <v/>
      </c>
      <c r="Q179" s="16" t="inlineStr">
        <is>
          <t>2026-04-21</t>
        </is>
      </c>
      <c r="R179" s="16" t="inlineStr">
        <is>
          <t>2026-04-26</t>
        </is>
      </c>
      <c r="S179" s="10">
        <f>DATEDIF(Q179, R179, "d")</f>
        <v/>
      </c>
      <c r="T179" s="19">
        <f>EOMONTH(Q179, 0)</f>
        <v/>
      </c>
      <c r="U179" s="20">
        <f>NOW()</f>
        <v/>
      </c>
      <c r="V179" s="10">
        <f>IF(ISNUMBER(MATCH(C179, $X$5:$X$18, 0)), "VIP Match", "Standard")</f>
        <v/>
      </c>
    </row>
    <row r="180">
      <c r="A180" s="16" t="inlineStr">
        <is>
          <t>TXN-2176</t>
        </is>
      </c>
      <c r="B180" s="16" t="inlineStr">
        <is>
          <t>2026-05-07</t>
        </is>
      </c>
      <c r="C180" s="10" t="inlineStr">
        <is>
          <t>Customer 020</t>
        </is>
      </c>
      <c r="D180" s="10" t="inlineStr">
        <is>
          <t>Corporate</t>
        </is>
      </c>
      <c r="E180" s="10" t="inlineStr">
        <is>
          <t>East</t>
        </is>
      </c>
      <c r="F180" s="10" t="inlineStr">
        <is>
          <t>Cloud Intelligence Suite</t>
        </is>
      </c>
      <c r="G180" s="10">
        <f>UPPER(LEFT(F180, 3)) &amp; "-" &amp; TEXT(LEN(F180), "00")</f>
        <v/>
      </c>
      <c r="H180" s="10" t="n">
        <v>45</v>
      </c>
      <c r="I180" s="17" t="n">
        <v>399.03</v>
      </c>
      <c r="J180" s="17">
        <f>H180*I180</f>
        <v/>
      </c>
      <c r="K180" s="18" t="n">
        <v>0.15</v>
      </c>
      <c r="L180" s="17">
        <f>J180*K180</f>
        <v/>
      </c>
      <c r="M180" s="17">
        <f>J180-L180</f>
        <v/>
      </c>
      <c r="N180" s="17">
        <f>J180*0.56</f>
        <v/>
      </c>
      <c r="O180" s="17">
        <f>M180-N180</f>
        <v/>
      </c>
      <c r="P180" s="18">
        <f>O180/M180</f>
        <v/>
      </c>
      <c r="Q180" s="16" t="inlineStr">
        <is>
          <t>2026-05-07</t>
        </is>
      </c>
      <c r="R180" s="16" t="inlineStr">
        <is>
          <t>2026-05-10</t>
        </is>
      </c>
      <c r="S180" s="10">
        <f>DATEDIF(Q180, R180, "d")</f>
        <v/>
      </c>
      <c r="T180" s="19">
        <f>EOMONTH(Q180, 0)</f>
        <v/>
      </c>
      <c r="U180" s="20">
        <f>NOW()</f>
        <v/>
      </c>
      <c r="V180" s="10">
        <f>IF(ISNUMBER(MATCH(C180, $X$5:$X$18, 0)), "VIP Match", "Standard")</f>
        <v/>
      </c>
    </row>
    <row r="181">
      <c r="A181" s="16" t="inlineStr">
        <is>
          <t>TXN-2177</t>
        </is>
      </c>
      <c r="B181" s="16" t="inlineStr">
        <is>
          <t>2026-05-27</t>
        </is>
      </c>
      <c r="C181" s="10" t="inlineStr">
        <is>
          <t>Customer 008</t>
        </is>
      </c>
      <c r="D181" s="10" t="inlineStr">
        <is>
          <t>Retail</t>
        </is>
      </c>
      <c r="E181" s="10" t="inlineStr">
        <is>
          <t>Central</t>
        </is>
      </c>
      <c r="F181" s="10" t="inlineStr">
        <is>
          <t>Cloud Intelligence Suite</t>
        </is>
      </c>
      <c r="G181" s="10">
        <f>UPPER(LEFT(F181, 3)) &amp; "-" &amp; TEXT(LEN(F181), "00")</f>
        <v/>
      </c>
      <c r="H181" s="10" t="n">
        <v>19</v>
      </c>
      <c r="I181" s="17" t="n">
        <v>257.12</v>
      </c>
      <c r="J181" s="17">
        <f>H181*I181</f>
        <v/>
      </c>
      <c r="K181" s="18" t="n">
        <v>0.2</v>
      </c>
      <c r="L181" s="17">
        <f>J181*K181</f>
        <v/>
      </c>
      <c r="M181" s="17">
        <f>J181-L181</f>
        <v/>
      </c>
      <c r="N181" s="17">
        <f>J181*0.62</f>
        <v/>
      </c>
      <c r="O181" s="17">
        <f>M181-N181</f>
        <v/>
      </c>
      <c r="P181" s="18">
        <f>O181/M181</f>
        <v/>
      </c>
      <c r="Q181" s="16" t="inlineStr">
        <is>
          <t>2026-05-27</t>
        </is>
      </c>
      <c r="R181" s="16" t="inlineStr">
        <is>
          <t>2026-06-05</t>
        </is>
      </c>
      <c r="S181" s="10">
        <f>DATEDIF(Q181, R181, "d")</f>
        <v/>
      </c>
      <c r="T181" s="19">
        <f>EOMONTH(Q181, 0)</f>
        <v/>
      </c>
      <c r="U181" s="20">
        <f>NOW()</f>
        <v/>
      </c>
      <c r="V181" s="10">
        <f>IF(ISNUMBER(MATCH(C181, $X$5:$X$18, 0)), "VIP Match", "Standard")</f>
        <v/>
      </c>
    </row>
    <row r="182">
      <c r="A182" s="16" t="inlineStr">
        <is>
          <t>TXN-2178</t>
        </is>
      </c>
      <c r="B182" s="16" t="inlineStr">
        <is>
          <t>2026-02-17</t>
        </is>
      </c>
      <c r="C182" s="10" t="inlineStr">
        <is>
          <t>Customer 033</t>
        </is>
      </c>
      <c r="D182" s="10" t="inlineStr">
        <is>
          <t>Retail</t>
        </is>
      </c>
      <c r="E182" s="10" t="inlineStr">
        <is>
          <t>Central</t>
        </is>
      </c>
      <c r="F182" s="10" t="inlineStr">
        <is>
          <t>Data Vault Ultra</t>
        </is>
      </c>
      <c r="G182" s="10">
        <f>UPPER(LEFT(F182, 3)) &amp; "-" &amp; TEXT(LEN(F182), "00")</f>
        <v/>
      </c>
      <c r="H182" s="10" t="n">
        <v>72</v>
      </c>
      <c r="I182" s="17" t="n">
        <v>398.1</v>
      </c>
      <c r="J182" s="17">
        <f>H182*I182</f>
        <v/>
      </c>
      <c r="K182" s="18" t="n">
        <v>0</v>
      </c>
      <c r="L182" s="17">
        <f>J182*K182</f>
        <v/>
      </c>
      <c r="M182" s="17">
        <f>J182-L182</f>
        <v/>
      </c>
      <c r="N182" s="17">
        <f>J182*0.56</f>
        <v/>
      </c>
      <c r="O182" s="17">
        <f>M182-N182</f>
        <v/>
      </c>
      <c r="P182" s="18">
        <f>O182/M182</f>
        <v/>
      </c>
      <c r="Q182" s="16" t="inlineStr">
        <is>
          <t>2026-02-17</t>
        </is>
      </c>
      <c r="R182" s="16" t="inlineStr">
        <is>
          <t>2026-02-26</t>
        </is>
      </c>
      <c r="S182" s="10">
        <f>DATEDIF(Q182, R182, "d")</f>
        <v/>
      </c>
      <c r="T182" s="19">
        <f>EOMONTH(Q182, 0)</f>
        <v/>
      </c>
      <c r="U182" s="20">
        <f>NOW()</f>
        <v/>
      </c>
      <c r="V182" s="10">
        <f>IF(ISNUMBER(MATCH(C182, $X$5:$X$18, 0)), "VIP Match", "Standard")</f>
        <v/>
      </c>
    </row>
    <row r="183">
      <c r="A183" s="16" t="inlineStr">
        <is>
          <t>TXN-2179</t>
        </is>
      </c>
      <c r="B183" s="16" t="inlineStr">
        <is>
          <t>2026-02-20</t>
        </is>
      </c>
      <c r="C183" s="10" t="inlineStr">
        <is>
          <t>Customer 005</t>
        </is>
      </c>
      <c r="D183" s="10" t="inlineStr">
        <is>
          <t>Retail</t>
        </is>
      </c>
      <c r="E183" s="10" t="inlineStr">
        <is>
          <t>West</t>
        </is>
      </c>
      <c r="F183" s="10" t="inlineStr">
        <is>
          <t>Enterprise Analytics Pro</t>
        </is>
      </c>
      <c r="G183" s="10">
        <f>UPPER(LEFT(F183, 3)) &amp; "-" &amp; TEXT(LEN(F183), "00")</f>
        <v/>
      </c>
      <c r="H183" s="10" t="n">
        <v>118</v>
      </c>
      <c r="I183" s="17" t="n">
        <v>102.21</v>
      </c>
      <c r="J183" s="17">
        <f>H183*I183</f>
        <v/>
      </c>
      <c r="K183" s="18" t="n">
        <v>0.2</v>
      </c>
      <c r="L183" s="17">
        <f>J183*K183</f>
        <v/>
      </c>
      <c r="M183" s="17">
        <f>J183-L183</f>
        <v/>
      </c>
      <c r="N183" s="17">
        <f>J183*0.50</f>
        <v/>
      </c>
      <c r="O183" s="17">
        <f>M183-N183</f>
        <v/>
      </c>
      <c r="P183" s="18">
        <f>O183/M183</f>
        <v/>
      </c>
      <c r="Q183" s="16" t="inlineStr">
        <is>
          <t>2026-02-20</t>
        </is>
      </c>
      <c r="R183" s="16" t="inlineStr">
        <is>
          <t>2026-02-23</t>
        </is>
      </c>
      <c r="S183" s="10">
        <f>DATEDIF(Q183, R183, "d")</f>
        <v/>
      </c>
      <c r="T183" s="19">
        <f>EOMONTH(Q183, 0)</f>
        <v/>
      </c>
      <c r="U183" s="20">
        <f>NOW()</f>
        <v/>
      </c>
      <c r="V183" s="10">
        <f>IF(ISNUMBER(MATCH(C183, $X$5:$X$18, 0)), "VIP Match", "Standard")</f>
        <v/>
      </c>
    </row>
    <row r="184">
      <c r="A184" s="16" t="inlineStr">
        <is>
          <t>TXN-2180</t>
        </is>
      </c>
      <c r="B184" s="16" t="inlineStr">
        <is>
          <t>2026-01-15</t>
        </is>
      </c>
      <c r="C184" s="10" t="inlineStr">
        <is>
          <t>Customer 040</t>
        </is>
      </c>
      <c r="D184" s="10" t="inlineStr">
        <is>
          <t>Enterprise</t>
        </is>
      </c>
      <c r="E184" s="10" t="inlineStr">
        <is>
          <t>East</t>
        </is>
      </c>
      <c r="F184" s="10" t="inlineStr">
        <is>
          <t>AI Insights Engine</t>
        </is>
      </c>
      <c r="G184" s="10">
        <f>UPPER(LEFT(F184, 3)) &amp; "-" &amp; TEXT(LEN(F184), "00")</f>
        <v/>
      </c>
      <c r="H184" s="10" t="n">
        <v>64</v>
      </c>
      <c r="I184" s="17" t="n">
        <v>190.14</v>
      </c>
      <c r="J184" s="17">
        <f>H184*I184</f>
        <v/>
      </c>
      <c r="K184" s="18" t="n">
        <v>0.1</v>
      </c>
      <c r="L184" s="17">
        <f>J184*K184</f>
        <v/>
      </c>
      <c r="M184" s="17">
        <f>J184-L184</f>
        <v/>
      </c>
      <c r="N184" s="17">
        <f>J184*0.54</f>
        <v/>
      </c>
      <c r="O184" s="17">
        <f>M184-N184</f>
        <v/>
      </c>
      <c r="P184" s="18">
        <f>O184/M184</f>
        <v/>
      </c>
      <c r="Q184" s="16" t="inlineStr">
        <is>
          <t>2026-01-15</t>
        </is>
      </c>
      <c r="R184" s="16" t="inlineStr">
        <is>
          <t>2026-01-27</t>
        </is>
      </c>
      <c r="S184" s="10">
        <f>DATEDIF(Q184, R184, "d")</f>
        <v/>
      </c>
      <c r="T184" s="19">
        <f>EOMONTH(Q184, 0)</f>
        <v/>
      </c>
      <c r="U184" s="20">
        <f>NOW()</f>
        <v/>
      </c>
      <c r="V184" s="10">
        <f>IF(ISNUMBER(MATCH(C184, $X$5:$X$18, 0)), "VIP Match", "Standard")</f>
        <v/>
      </c>
    </row>
    <row r="185">
      <c r="A185" s="16" t="inlineStr">
        <is>
          <t>TXN-2181</t>
        </is>
      </c>
      <c r="B185" s="16" t="inlineStr">
        <is>
          <t>2026-03-26</t>
        </is>
      </c>
      <c r="C185" s="10" t="inlineStr">
        <is>
          <t>Customer 048</t>
        </is>
      </c>
      <c r="D185" s="10" t="inlineStr">
        <is>
          <t>Corporate</t>
        </is>
      </c>
      <c r="E185" s="10" t="inlineStr">
        <is>
          <t>East</t>
        </is>
      </c>
      <c r="F185" s="10" t="inlineStr">
        <is>
          <t>Enterprise Analytics Pro</t>
        </is>
      </c>
      <c r="G185" s="10">
        <f>UPPER(LEFT(F185, 3)) &amp; "-" &amp; TEXT(LEN(F185), "00")</f>
        <v/>
      </c>
      <c r="H185" s="10" t="n">
        <v>31</v>
      </c>
      <c r="I185" s="17" t="n">
        <v>432.32</v>
      </c>
      <c r="J185" s="17">
        <f>H185*I185</f>
        <v/>
      </c>
      <c r="K185" s="18" t="n">
        <v>0.1</v>
      </c>
      <c r="L185" s="17">
        <f>J185*K185</f>
        <v/>
      </c>
      <c r="M185" s="17">
        <f>J185-L185</f>
        <v/>
      </c>
      <c r="N185" s="17">
        <f>J185*0.62</f>
        <v/>
      </c>
      <c r="O185" s="17">
        <f>M185-N185</f>
        <v/>
      </c>
      <c r="P185" s="18">
        <f>O185/M185</f>
        <v/>
      </c>
      <c r="Q185" s="16" t="inlineStr">
        <is>
          <t>2026-03-26</t>
        </is>
      </c>
      <c r="R185" s="16" t="inlineStr">
        <is>
          <t>2026-04-06</t>
        </is>
      </c>
      <c r="S185" s="10">
        <f>DATEDIF(Q185, R185, "d")</f>
        <v/>
      </c>
      <c r="T185" s="19">
        <f>EOMONTH(Q185, 0)</f>
        <v/>
      </c>
      <c r="U185" s="20">
        <f>NOW()</f>
        <v/>
      </c>
      <c r="V185" s="10">
        <f>IF(ISNUMBER(MATCH(C185, $X$5:$X$18, 0)), "VIP Match", "Standard")</f>
        <v/>
      </c>
    </row>
    <row r="186">
      <c r="A186" s="16" t="inlineStr">
        <is>
          <t>TXN-2182</t>
        </is>
      </c>
      <c r="B186" s="16" t="inlineStr">
        <is>
          <t>2026-01-03</t>
        </is>
      </c>
      <c r="C186" s="10" t="inlineStr">
        <is>
          <t>Customer 031</t>
        </is>
      </c>
      <c r="D186" s="10" t="inlineStr">
        <is>
          <t>Enterprise</t>
        </is>
      </c>
      <c r="E186" s="10" t="inlineStr">
        <is>
          <t>South</t>
        </is>
      </c>
      <c r="F186" s="10" t="inlineStr">
        <is>
          <t>Cloud Intelligence Suite</t>
        </is>
      </c>
      <c r="G186" s="10">
        <f>UPPER(LEFT(F186, 3)) &amp; "-" &amp; TEXT(LEN(F186), "00")</f>
        <v/>
      </c>
      <c r="H186" s="10" t="n">
        <v>33</v>
      </c>
      <c r="I186" s="17" t="n">
        <v>215.24</v>
      </c>
      <c r="J186" s="17">
        <f>H186*I186</f>
        <v/>
      </c>
      <c r="K186" s="18" t="n">
        <v>0.05</v>
      </c>
      <c r="L186" s="17">
        <f>J186*K186</f>
        <v/>
      </c>
      <c r="M186" s="17">
        <f>J186-L186</f>
        <v/>
      </c>
      <c r="N186" s="17">
        <f>J186*0.53</f>
        <v/>
      </c>
      <c r="O186" s="17">
        <f>M186-N186</f>
        <v/>
      </c>
      <c r="P186" s="18">
        <f>O186/M186</f>
        <v/>
      </c>
      <c r="Q186" s="16" t="inlineStr">
        <is>
          <t>2026-01-03</t>
        </is>
      </c>
      <c r="R186" s="16" t="inlineStr">
        <is>
          <t>2026-01-10</t>
        </is>
      </c>
      <c r="S186" s="10">
        <f>DATEDIF(Q186, R186, "d")</f>
        <v/>
      </c>
      <c r="T186" s="19">
        <f>EOMONTH(Q186, 0)</f>
        <v/>
      </c>
      <c r="U186" s="20">
        <f>NOW()</f>
        <v/>
      </c>
      <c r="V186" s="10">
        <f>IF(ISNUMBER(MATCH(C186, $X$5:$X$18, 0)), "VIP Match", "Standard")</f>
        <v/>
      </c>
    </row>
    <row r="187">
      <c r="A187" s="16" t="inlineStr">
        <is>
          <t>TXN-2183</t>
        </is>
      </c>
      <c r="B187" s="16" t="inlineStr">
        <is>
          <t>2026-01-22</t>
        </is>
      </c>
      <c r="C187" s="10" t="inlineStr">
        <is>
          <t>Customer 021</t>
        </is>
      </c>
      <c r="D187" s="10" t="inlineStr">
        <is>
          <t>Wholesale</t>
        </is>
      </c>
      <c r="E187" s="10" t="inlineStr">
        <is>
          <t>East</t>
        </is>
      </c>
      <c r="F187" s="10" t="inlineStr">
        <is>
          <t>Data Vault Ultra</t>
        </is>
      </c>
      <c r="G187" s="10">
        <f>UPPER(LEFT(F187, 3)) &amp; "-" &amp; TEXT(LEN(F187), "00")</f>
        <v/>
      </c>
      <c r="H187" s="10" t="n">
        <v>54</v>
      </c>
      <c r="I187" s="17" t="n">
        <v>155.63</v>
      </c>
      <c r="J187" s="17">
        <f>H187*I187</f>
        <v/>
      </c>
      <c r="K187" s="18" t="n">
        <v>0.15</v>
      </c>
      <c r="L187" s="17">
        <f>J187*K187</f>
        <v/>
      </c>
      <c r="M187" s="17">
        <f>J187-L187</f>
        <v/>
      </c>
      <c r="N187" s="17">
        <f>J187*0.61</f>
        <v/>
      </c>
      <c r="O187" s="17">
        <f>M187-N187</f>
        <v/>
      </c>
      <c r="P187" s="18">
        <f>O187/M187</f>
        <v/>
      </c>
      <c r="Q187" s="16" t="inlineStr">
        <is>
          <t>2026-01-22</t>
        </is>
      </c>
      <c r="R187" s="16" t="inlineStr">
        <is>
          <t>2026-01-25</t>
        </is>
      </c>
      <c r="S187" s="10">
        <f>DATEDIF(Q187, R187, "d")</f>
        <v/>
      </c>
      <c r="T187" s="19">
        <f>EOMONTH(Q187, 0)</f>
        <v/>
      </c>
      <c r="U187" s="20">
        <f>NOW()</f>
        <v/>
      </c>
      <c r="V187" s="10">
        <f>IF(ISNUMBER(MATCH(C187, $X$5:$X$18, 0)), "VIP Match", "Standard")</f>
        <v/>
      </c>
    </row>
    <row r="188">
      <c r="A188" s="16" t="inlineStr">
        <is>
          <t>TXN-2184</t>
        </is>
      </c>
      <c r="B188" s="16" t="inlineStr">
        <is>
          <t>2026-04-28</t>
        </is>
      </c>
      <c r="C188" s="10" t="inlineStr">
        <is>
          <t>Customer 036</t>
        </is>
      </c>
      <c r="D188" s="10" t="inlineStr">
        <is>
          <t>Retail</t>
        </is>
      </c>
      <c r="E188" s="10" t="inlineStr">
        <is>
          <t>North</t>
        </is>
      </c>
      <c r="F188" s="10" t="inlineStr">
        <is>
          <t>Data Vault Ultra</t>
        </is>
      </c>
      <c r="G188" s="10">
        <f>UPPER(LEFT(F188, 3)) &amp; "-" &amp; TEXT(LEN(F188), "00")</f>
        <v/>
      </c>
      <c r="H188" s="10" t="n">
        <v>87</v>
      </c>
      <c r="I188" s="17" t="n">
        <v>185.55</v>
      </c>
      <c r="J188" s="17">
        <f>H188*I188</f>
        <v/>
      </c>
      <c r="K188" s="18" t="n">
        <v>0.05</v>
      </c>
      <c r="L188" s="17">
        <f>J188*K188</f>
        <v/>
      </c>
      <c r="M188" s="17">
        <f>J188-L188</f>
        <v/>
      </c>
      <c r="N188" s="17">
        <f>J188*0.51</f>
        <v/>
      </c>
      <c r="O188" s="17">
        <f>M188-N188</f>
        <v/>
      </c>
      <c r="P188" s="18">
        <f>O188/M188</f>
        <v/>
      </c>
      <c r="Q188" s="16" t="inlineStr">
        <is>
          <t>2026-04-28</t>
        </is>
      </c>
      <c r="R188" s="16" t="inlineStr">
        <is>
          <t>2026-05-11</t>
        </is>
      </c>
      <c r="S188" s="10">
        <f>DATEDIF(Q188, R188, "d")</f>
        <v/>
      </c>
      <c r="T188" s="19">
        <f>EOMONTH(Q188, 0)</f>
        <v/>
      </c>
      <c r="U188" s="20">
        <f>NOW()</f>
        <v/>
      </c>
      <c r="V188" s="10">
        <f>IF(ISNUMBER(MATCH(C188, $X$5:$X$18, 0)), "VIP Match", "Standard")</f>
        <v/>
      </c>
    </row>
    <row r="189">
      <c r="A189" s="16" t="inlineStr">
        <is>
          <t>TXN-2185</t>
        </is>
      </c>
      <c r="B189" s="16" t="inlineStr">
        <is>
          <t>2026-04-22</t>
        </is>
      </c>
      <c r="C189" s="10" t="inlineStr">
        <is>
          <t>Customer 009</t>
        </is>
      </c>
      <c r="D189" s="10" t="inlineStr">
        <is>
          <t>Wholesale</t>
        </is>
      </c>
      <c r="E189" s="10" t="inlineStr">
        <is>
          <t>North</t>
        </is>
      </c>
      <c r="F189" s="10" t="inlineStr">
        <is>
          <t>AI Insights Engine</t>
        </is>
      </c>
      <c r="G189" s="10">
        <f>UPPER(LEFT(F189, 3)) &amp; "-" &amp; TEXT(LEN(F189), "00")</f>
        <v/>
      </c>
      <c r="H189" s="10" t="n">
        <v>109</v>
      </c>
      <c r="I189" s="17" t="n">
        <v>150.57</v>
      </c>
      <c r="J189" s="17">
        <f>H189*I189</f>
        <v/>
      </c>
      <c r="K189" s="18" t="n">
        <v>0.2</v>
      </c>
      <c r="L189" s="17">
        <f>J189*K189</f>
        <v/>
      </c>
      <c r="M189" s="17">
        <f>J189-L189</f>
        <v/>
      </c>
      <c r="N189" s="17">
        <f>J189*0.49</f>
        <v/>
      </c>
      <c r="O189" s="17">
        <f>M189-N189</f>
        <v/>
      </c>
      <c r="P189" s="18">
        <f>O189/M189</f>
        <v/>
      </c>
      <c r="Q189" s="16" t="inlineStr">
        <is>
          <t>2026-04-22</t>
        </is>
      </c>
      <c r="R189" s="16" t="inlineStr">
        <is>
          <t>2026-04-25</t>
        </is>
      </c>
      <c r="S189" s="10">
        <f>DATEDIF(Q189, R189, "d")</f>
        <v/>
      </c>
      <c r="T189" s="19">
        <f>EOMONTH(Q189, 0)</f>
        <v/>
      </c>
      <c r="U189" s="20">
        <f>NOW()</f>
        <v/>
      </c>
      <c r="V189" s="10">
        <f>IF(ISNUMBER(MATCH(C189, $X$5:$X$18, 0)), "VIP Match", "Standard")</f>
        <v/>
      </c>
    </row>
    <row r="190">
      <c r="A190" s="16" t="inlineStr">
        <is>
          <t>TXN-2186</t>
        </is>
      </c>
      <c r="B190" s="16" t="inlineStr">
        <is>
          <t>2026-05-22</t>
        </is>
      </c>
      <c r="C190" s="10" t="inlineStr">
        <is>
          <t>Customer 043</t>
        </is>
      </c>
      <c r="D190" s="10" t="inlineStr">
        <is>
          <t>Corporate</t>
        </is>
      </c>
      <c r="E190" s="10" t="inlineStr">
        <is>
          <t>East</t>
        </is>
      </c>
      <c r="F190" s="10" t="inlineStr">
        <is>
          <t>Cloud Intelligence Suite</t>
        </is>
      </c>
      <c r="G190" s="10">
        <f>UPPER(LEFT(F190, 3)) &amp; "-" &amp; TEXT(LEN(F190), "00")</f>
        <v/>
      </c>
      <c r="H190" s="10" t="n">
        <v>13</v>
      </c>
      <c r="I190" s="17" t="n">
        <v>438.86</v>
      </c>
      <c r="J190" s="17">
        <f>H190*I190</f>
        <v/>
      </c>
      <c r="K190" s="18" t="n">
        <v>0.2</v>
      </c>
      <c r="L190" s="17">
        <f>J190*K190</f>
        <v/>
      </c>
      <c r="M190" s="17">
        <f>J190-L190</f>
        <v/>
      </c>
      <c r="N190" s="17">
        <f>J190*0.54</f>
        <v/>
      </c>
      <c r="O190" s="17">
        <f>M190-N190</f>
        <v/>
      </c>
      <c r="P190" s="18">
        <f>O190/M190</f>
        <v/>
      </c>
      <c r="Q190" s="16" t="inlineStr">
        <is>
          <t>2026-05-22</t>
        </is>
      </c>
      <c r="R190" s="16" t="inlineStr">
        <is>
          <t>2026-05-26</t>
        </is>
      </c>
      <c r="S190" s="10">
        <f>DATEDIF(Q190, R190, "d")</f>
        <v/>
      </c>
      <c r="T190" s="19">
        <f>EOMONTH(Q190, 0)</f>
        <v/>
      </c>
      <c r="U190" s="20">
        <f>NOW()</f>
        <v/>
      </c>
      <c r="V190" s="10">
        <f>IF(ISNUMBER(MATCH(C190, $X$5:$X$18, 0)), "VIP Match", "Standard")</f>
        <v/>
      </c>
    </row>
    <row r="191">
      <c r="A191" s="16" t="inlineStr">
        <is>
          <t>TXN-2187</t>
        </is>
      </c>
      <c r="B191" s="16" t="inlineStr">
        <is>
          <t>2026-03-17</t>
        </is>
      </c>
      <c r="C191" s="10" t="inlineStr">
        <is>
          <t>Customer 015</t>
        </is>
      </c>
      <c r="D191" s="10" t="inlineStr">
        <is>
          <t>Wholesale</t>
        </is>
      </c>
      <c r="E191" s="10" t="inlineStr">
        <is>
          <t>West</t>
        </is>
      </c>
      <c r="F191" s="10" t="inlineStr">
        <is>
          <t>Smart Metrics Dashboard</t>
        </is>
      </c>
      <c r="G191" s="10">
        <f>UPPER(LEFT(F191, 3)) &amp; "-" &amp; TEXT(LEN(F191), "00")</f>
        <v/>
      </c>
      <c r="H191" s="10" t="n">
        <v>29</v>
      </c>
      <c r="I191" s="17" t="n">
        <v>408.77</v>
      </c>
      <c r="J191" s="17">
        <f>H191*I191</f>
        <v/>
      </c>
      <c r="K191" s="18" t="n">
        <v>0.2</v>
      </c>
      <c r="L191" s="17">
        <f>J191*K191</f>
        <v/>
      </c>
      <c r="M191" s="17">
        <f>J191-L191</f>
        <v/>
      </c>
      <c r="N191" s="17">
        <f>J191*0.55</f>
        <v/>
      </c>
      <c r="O191" s="17">
        <f>M191-N191</f>
        <v/>
      </c>
      <c r="P191" s="18">
        <f>O191/M191</f>
        <v/>
      </c>
      <c r="Q191" s="16" t="inlineStr">
        <is>
          <t>2026-03-17</t>
        </is>
      </c>
      <c r="R191" s="16" t="inlineStr">
        <is>
          <t>2026-03-27</t>
        </is>
      </c>
      <c r="S191" s="10">
        <f>DATEDIF(Q191, R191, "d")</f>
        <v/>
      </c>
      <c r="T191" s="19">
        <f>EOMONTH(Q191, 0)</f>
        <v/>
      </c>
      <c r="U191" s="20">
        <f>NOW()</f>
        <v/>
      </c>
      <c r="V191" s="10">
        <f>IF(ISNUMBER(MATCH(C191, $X$5:$X$18, 0)), "VIP Match", "Standard")</f>
        <v/>
      </c>
    </row>
    <row r="192">
      <c r="A192" s="16" t="inlineStr">
        <is>
          <t>TXN-2188</t>
        </is>
      </c>
      <c r="B192" s="16" t="inlineStr">
        <is>
          <t>2026-06-11</t>
        </is>
      </c>
      <c r="C192" s="10" t="inlineStr">
        <is>
          <t>Customer 022</t>
        </is>
      </c>
      <c r="D192" s="10" t="inlineStr">
        <is>
          <t>Corporate</t>
        </is>
      </c>
      <c r="E192" s="10" t="inlineStr">
        <is>
          <t>Central</t>
        </is>
      </c>
      <c r="F192" s="10" t="inlineStr">
        <is>
          <t>AI Insights Engine</t>
        </is>
      </c>
      <c r="G192" s="10">
        <f>UPPER(LEFT(F192, 3)) &amp; "-" &amp; TEXT(LEN(F192), "00")</f>
        <v/>
      </c>
      <c r="H192" s="10" t="n">
        <v>71</v>
      </c>
      <c r="I192" s="17" t="n">
        <v>261.74</v>
      </c>
      <c r="J192" s="17">
        <f>H192*I192</f>
        <v/>
      </c>
      <c r="K192" s="18" t="n">
        <v>0.05</v>
      </c>
      <c r="L192" s="17">
        <f>J192*K192</f>
        <v/>
      </c>
      <c r="M192" s="17">
        <f>J192-L192</f>
        <v/>
      </c>
      <c r="N192" s="17">
        <f>J192*0.52</f>
        <v/>
      </c>
      <c r="O192" s="17">
        <f>M192-N192</f>
        <v/>
      </c>
      <c r="P192" s="18">
        <f>O192/M192</f>
        <v/>
      </c>
      <c r="Q192" s="16" t="inlineStr">
        <is>
          <t>2026-06-11</t>
        </is>
      </c>
      <c r="R192" s="16" t="inlineStr">
        <is>
          <t>2026-06-22</t>
        </is>
      </c>
      <c r="S192" s="10">
        <f>DATEDIF(Q192, R192, "d")</f>
        <v/>
      </c>
      <c r="T192" s="19">
        <f>EOMONTH(Q192, 0)</f>
        <v/>
      </c>
      <c r="U192" s="20">
        <f>NOW()</f>
        <v/>
      </c>
      <c r="V192" s="10">
        <f>IF(ISNUMBER(MATCH(C192, $X$5:$X$18, 0)), "VIP Match", "Standard")</f>
        <v/>
      </c>
    </row>
    <row r="193">
      <c r="A193" s="16" t="inlineStr">
        <is>
          <t>TXN-2189</t>
        </is>
      </c>
      <c r="B193" s="16" t="inlineStr">
        <is>
          <t>2026-04-20</t>
        </is>
      </c>
      <c r="C193" s="10" t="inlineStr">
        <is>
          <t>Customer 034</t>
        </is>
      </c>
      <c r="D193" s="10" t="inlineStr">
        <is>
          <t>Wholesale</t>
        </is>
      </c>
      <c r="E193" s="10" t="inlineStr">
        <is>
          <t>North</t>
        </is>
      </c>
      <c r="F193" s="10" t="inlineStr">
        <is>
          <t>Cloud Intelligence Suite</t>
        </is>
      </c>
      <c r="G193" s="10">
        <f>UPPER(LEFT(F193, 3)) &amp; "-" &amp; TEXT(LEN(F193), "00")</f>
        <v/>
      </c>
      <c r="H193" s="10" t="n">
        <v>44</v>
      </c>
      <c r="I193" s="17" t="n">
        <v>462.16</v>
      </c>
      <c r="J193" s="17">
        <f>H193*I193</f>
        <v/>
      </c>
      <c r="K193" s="18" t="n">
        <v>0.05</v>
      </c>
      <c r="L193" s="17">
        <f>J193*K193</f>
        <v/>
      </c>
      <c r="M193" s="17">
        <f>J193-L193</f>
        <v/>
      </c>
      <c r="N193" s="17">
        <f>J193*0.57</f>
        <v/>
      </c>
      <c r="O193" s="17">
        <f>M193-N193</f>
        <v/>
      </c>
      <c r="P193" s="18">
        <f>O193/M193</f>
        <v/>
      </c>
      <c r="Q193" s="16" t="inlineStr">
        <is>
          <t>2026-04-20</t>
        </is>
      </c>
      <c r="R193" s="16" t="inlineStr">
        <is>
          <t>2026-05-01</t>
        </is>
      </c>
      <c r="S193" s="10">
        <f>DATEDIF(Q193, R193, "d")</f>
        <v/>
      </c>
      <c r="T193" s="19">
        <f>EOMONTH(Q193, 0)</f>
        <v/>
      </c>
      <c r="U193" s="20">
        <f>NOW()</f>
        <v/>
      </c>
      <c r="V193" s="10">
        <f>IF(ISNUMBER(MATCH(C193, $X$5:$X$18, 0)), "VIP Match", "Standard")</f>
        <v/>
      </c>
    </row>
    <row r="194">
      <c r="A194" s="16" t="inlineStr">
        <is>
          <t>TXN-2190</t>
        </is>
      </c>
      <c r="B194" s="16" t="inlineStr">
        <is>
          <t>2026-06-12</t>
        </is>
      </c>
      <c r="C194" s="10" t="inlineStr">
        <is>
          <t>Customer 018</t>
        </is>
      </c>
      <c r="D194" s="10" t="inlineStr">
        <is>
          <t>Enterprise</t>
        </is>
      </c>
      <c r="E194" s="10" t="inlineStr">
        <is>
          <t>West</t>
        </is>
      </c>
      <c r="F194" s="10" t="inlineStr">
        <is>
          <t>AI Insights Engine</t>
        </is>
      </c>
      <c r="G194" s="10">
        <f>UPPER(LEFT(F194, 3)) &amp; "-" &amp; TEXT(LEN(F194), "00")</f>
        <v/>
      </c>
      <c r="H194" s="10" t="n">
        <v>6</v>
      </c>
      <c r="I194" s="17" t="n">
        <v>100.49</v>
      </c>
      <c r="J194" s="17">
        <f>H194*I194</f>
        <v/>
      </c>
      <c r="K194" s="18" t="n">
        <v>0</v>
      </c>
      <c r="L194" s="17">
        <f>J194*K194</f>
        <v/>
      </c>
      <c r="M194" s="17">
        <f>J194-L194</f>
        <v/>
      </c>
      <c r="N194" s="17">
        <f>J194*0.53</f>
        <v/>
      </c>
      <c r="O194" s="17">
        <f>M194-N194</f>
        <v/>
      </c>
      <c r="P194" s="18">
        <f>O194/M194</f>
        <v/>
      </c>
      <c r="Q194" s="16" t="inlineStr">
        <is>
          <t>2026-06-12</t>
        </is>
      </c>
      <c r="R194" s="16" t="inlineStr">
        <is>
          <t>2026-06-16</t>
        </is>
      </c>
      <c r="S194" s="10">
        <f>DATEDIF(Q194, R194, "d")</f>
        <v/>
      </c>
      <c r="T194" s="19">
        <f>EOMONTH(Q194, 0)</f>
        <v/>
      </c>
      <c r="U194" s="20">
        <f>NOW()</f>
        <v/>
      </c>
      <c r="V194" s="10">
        <f>IF(ISNUMBER(MATCH(C194, $X$5:$X$18, 0)), "VIP Match", "Standard")</f>
        <v/>
      </c>
    </row>
    <row r="195">
      <c r="A195" s="16" t="inlineStr">
        <is>
          <t>TXN-2191</t>
        </is>
      </c>
      <c r="B195" s="16" t="inlineStr">
        <is>
          <t>2026-02-01</t>
        </is>
      </c>
      <c r="C195" s="10" t="inlineStr">
        <is>
          <t>Customer 014</t>
        </is>
      </c>
      <c r="D195" s="10" t="inlineStr">
        <is>
          <t>Retail</t>
        </is>
      </c>
      <c r="E195" s="10" t="inlineStr">
        <is>
          <t>North</t>
        </is>
      </c>
      <c r="F195" s="10" t="inlineStr">
        <is>
          <t>Enterprise Analytics Pro</t>
        </is>
      </c>
      <c r="G195" s="10">
        <f>UPPER(LEFT(F195, 3)) &amp; "-" &amp; TEXT(LEN(F195), "00")</f>
        <v/>
      </c>
      <c r="H195" s="10" t="n">
        <v>94</v>
      </c>
      <c r="I195" s="17" t="n">
        <v>220.41</v>
      </c>
      <c r="J195" s="17">
        <f>H195*I195</f>
        <v/>
      </c>
      <c r="K195" s="18" t="n">
        <v>0.15</v>
      </c>
      <c r="L195" s="17">
        <f>J195*K195</f>
        <v/>
      </c>
      <c r="M195" s="17">
        <f>J195-L195</f>
        <v/>
      </c>
      <c r="N195" s="17">
        <f>J195*0.52</f>
        <v/>
      </c>
      <c r="O195" s="17">
        <f>M195-N195</f>
        <v/>
      </c>
      <c r="P195" s="18">
        <f>O195/M195</f>
        <v/>
      </c>
      <c r="Q195" s="16" t="inlineStr">
        <is>
          <t>2026-02-01</t>
        </is>
      </c>
      <c r="R195" s="16" t="inlineStr">
        <is>
          <t>2026-02-05</t>
        </is>
      </c>
      <c r="S195" s="10">
        <f>DATEDIF(Q195, R195, "d")</f>
        <v/>
      </c>
      <c r="T195" s="19">
        <f>EOMONTH(Q195, 0)</f>
        <v/>
      </c>
      <c r="U195" s="20">
        <f>NOW()</f>
        <v/>
      </c>
      <c r="V195" s="10">
        <f>IF(ISNUMBER(MATCH(C195, $X$5:$X$18, 0)), "VIP Match", "Standard")</f>
        <v/>
      </c>
    </row>
    <row r="196">
      <c r="A196" s="16" t="inlineStr">
        <is>
          <t>TXN-2192</t>
        </is>
      </c>
      <c r="B196" s="16" t="inlineStr">
        <is>
          <t>2026-06-28</t>
        </is>
      </c>
      <c r="C196" s="10" t="inlineStr">
        <is>
          <t>Customer 044</t>
        </is>
      </c>
      <c r="D196" s="10" t="inlineStr">
        <is>
          <t>Enterprise</t>
        </is>
      </c>
      <c r="E196" s="10" t="inlineStr">
        <is>
          <t>Central</t>
        </is>
      </c>
      <c r="F196" s="10" t="inlineStr">
        <is>
          <t>Enterprise Analytics Pro</t>
        </is>
      </c>
      <c r="G196" s="10">
        <f>UPPER(LEFT(F196, 3)) &amp; "-" &amp; TEXT(LEN(F196), "00")</f>
        <v/>
      </c>
      <c r="H196" s="10" t="n">
        <v>16</v>
      </c>
      <c r="I196" s="17" t="n">
        <v>405.12</v>
      </c>
      <c r="J196" s="17">
        <f>H196*I196</f>
        <v/>
      </c>
      <c r="K196" s="18" t="n">
        <v>0.1</v>
      </c>
      <c r="L196" s="17">
        <f>J196*K196</f>
        <v/>
      </c>
      <c r="M196" s="17">
        <f>J196-L196</f>
        <v/>
      </c>
      <c r="N196" s="17">
        <f>J196*0.55</f>
        <v/>
      </c>
      <c r="O196" s="17">
        <f>M196-N196</f>
        <v/>
      </c>
      <c r="P196" s="18">
        <f>O196/M196</f>
        <v/>
      </c>
      <c r="Q196" s="16" t="inlineStr">
        <is>
          <t>2026-06-28</t>
        </is>
      </c>
      <c r="R196" s="16" t="inlineStr">
        <is>
          <t>2026-07-05</t>
        </is>
      </c>
      <c r="S196" s="10">
        <f>DATEDIF(Q196, R196, "d")</f>
        <v/>
      </c>
      <c r="T196" s="19">
        <f>EOMONTH(Q196, 0)</f>
        <v/>
      </c>
      <c r="U196" s="20">
        <f>NOW()</f>
        <v/>
      </c>
      <c r="V196" s="10">
        <f>IF(ISNUMBER(MATCH(C196, $X$5:$X$18, 0)), "VIP Match", "Standard")</f>
        <v/>
      </c>
    </row>
    <row r="197">
      <c r="A197" s="16" t="inlineStr">
        <is>
          <t>TXN-2193</t>
        </is>
      </c>
      <c r="B197" s="16" t="inlineStr">
        <is>
          <t>2026-01-24</t>
        </is>
      </c>
      <c r="C197" s="10" t="inlineStr">
        <is>
          <t>Customer 009</t>
        </is>
      </c>
      <c r="D197" s="10" t="inlineStr">
        <is>
          <t>Enterprise</t>
        </is>
      </c>
      <c r="E197" s="10" t="inlineStr">
        <is>
          <t>South</t>
        </is>
      </c>
      <c r="F197" s="10" t="inlineStr">
        <is>
          <t>Cloud Intelligence Suite</t>
        </is>
      </c>
      <c r="G197" s="10">
        <f>UPPER(LEFT(F197, 3)) &amp; "-" &amp; TEXT(LEN(F197), "00")</f>
        <v/>
      </c>
      <c r="H197" s="10" t="n">
        <v>47</v>
      </c>
      <c r="I197" s="17" t="n">
        <v>348.96</v>
      </c>
      <c r="J197" s="17">
        <f>H197*I197</f>
        <v/>
      </c>
      <c r="K197" s="18" t="n">
        <v>0</v>
      </c>
      <c r="L197" s="17">
        <f>J197*K197</f>
        <v/>
      </c>
      <c r="M197" s="17">
        <f>J197-L197</f>
        <v/>
      </c>
      <c r="N197" s="17">
        <f>J197*0.47</f>
        <v/>
      </c>
      <c r="O197" s="17">
        <f>M197-N197</f>
        <v/>
      </c>
      <c r="P197" s="18">
        <f>O197/M197</f>
        <v/>
      </c>
      <c r="Q197" s="16" t="inlineStr">
        <is>
          <t>2026-01-24</t>
        </is>
      </c>
      <c r="R197" s="16" t="inlineStr">
        <is>
          <t>2026-01-25</t>
        </is>
      </c>
      <c r="S197" s="10">
        <f>DATEDIF(Q197, R197, "d")</f>
        <v/>
      </c>
      <c r="T197" s="19">
        <f>EOMONTH(Q197, 0)</f>
        <v/>
      </c>
      <c r="U197" s="20">
        <f>NOW()</f>
        <v/>
      </c>
      <c r="V197" s="10">
        <f>IF(ISNUMBER(MATCH(C197, $X$5:$X$18, 0)), "VIP Match", "Standard")</f>
        <v/>
      </c>
    </row>
    <row r="198">
      <c r="A198" s="16" t="inlineStr">
        <is>
          <t>TXN-2194</t>
        </is>
      </c>
      <c r="B198" s="16" t="inlineStr">
        <is>
          <t>2026-05-11</t>
        </is>
      </c>
      <c r="C198" s="10" t="inlineStr">
        <is>
          <t>Customer 021</t>
        </is>
      </c>
      <c r="D198" s="10" t="inlineStr">
        <is>
          <t>Wholesale</t>
        </is>
      </c>
      <c r="E198" s="10" t="inlineStr">
        <is>
          <t>North</t>
        </is>
      </c>
      <c r="F198" s="10" t="inlineStr">
        <is>
          <t>AI Insights Engine</t>
        </is>
      </c>
      <c r="G198" s="10">
        <f>UPPER(LEFT(F198, 3)) &amp; "-" &amp; TEXT(LEN(F198), "00")</f>
        <v/>
      </c>
      <c r="H198" s="10" t="n">
        <v>42</v>
      </c>
      <c r="I198" s="17" t="n">
        <v>344.82</v>
      </c>
      <c r="J198" s="17">
        <f>H198*I198</f>
        <v/>
      </c>
      <c r="K198" s="18" t="n">
        <v>0</v>
      </c>
      <c r="L198" s="17">
        <f>J198*K198</f>
        <v/>
      </c>
      <c r="M198" s="17">
        <f>J198-L198</f>
        <v/>
      </c>
      <c r="N198" s="17">
        <f>J198*0.59</f>
        <v/>
      </c>
      <c r="O198" s="17">
        <f>M198-N198</f>
        <v/>
      </c>
      <c r="P198" s="18">
        <f>O198/M198</f>
        <v/>
      </c>
      <c r="Q198" s="16" t="inlineStr">
        <is>
          <t>2026-05-11</t>
        </is>
      </c>
      <c r="R198" s="16" t="inlineStr">
        <is>
          <t>2026-05-21</t>
        </is>
      </c>
      <c r="S198" s="10">
        <f>DATEDIF(Q198, R198, "d")</f>
        <v/>
      </c>
      <c r="T198" s="19">
        <f>EOMONTH(Q198, 0)</f>
        <v/>
      </c>
      <c r="U198" s="20">
        <f>NOW()</f>
        <v/>
      </c>
      <c r="V198" s="10">
        <f>IF(ISNUMBER(MATCH(C198, $X$5:$X$18, 0)), "VIP Match", "Standard")</f>
        <v/>
      </c>
    </row>
    <row r="199">
      <c r="A199" s="16" t="inlineStr">
        <is>
          <t>TXN-2195</t>
        </is>
      </c>
      <c r="B199" s="16" t="inlineStr">
        <is>
          <t>2026-01-31</t>
        </is>
      </c>
      <c r="C199" s="10" t="inlineStr">
        <is>
          <t>Customer 003</t>
        </is>
      </c>
      <c r="D199" s="10" t="inlineStr">
        <is>
          <t>Retail</t>
        </is>
      </c>
      <c r="E199" s="10" t="inlineStr">
        <is>
          <t>East</t>
        </is>
      </c>
      <c r="F199" s="10" t="inlineStr">
        <is>
          <t>Data Vault Ultra</t>
        </is>
      </c>
      <c r="G199" s="10">
        <f>UPPER(LEFT(F199, 3)) &amp; "-" &amp; TEXT(LEN(F199), "00")</f>
        <v/>
      </c>
      <c r="H199" s="10" t="n">
        <v>61</v>
      </c>
      <c r="I199" s="17" t="n">
        <v>293.21</v>
      </c>
      <c r="J199" s="17">
        <f>H199*I199</f>
        <v/>
      </c>
      <c r="K199" s="18" t="n">
        <v>0.15</v>
      </c>
      <c r="L199" s="17">
        <f>J199*K199</f>
        <v/>
      </c>
      <c r="M199" s="17">
        <f>J199-L199</f>
        <v/>
      </c>
      <c r="N199" s="17">
        <f>J199*0.60</f>
        <v/>
      </c>
      <c r="O199" s="17">
        <f>M199-N199</f>
        <v/>
      </c>
      <c r="P199" s="18">
        <f>O199/M199</f>
        <v/>
      </c>
      <c r="Q199" s="16" t="inlineStr">
        <is>
          <t>2026-01-31</t>
        </is>
      </c>
      <c r="R199" s="16" t="inlineStr">
        <is>
          <t>2026-02-05</t>
        </is>
      </c>
      <c r="S199" s="10">
        <f>DATEDIF(Q199, R199, "d")</f>
        <v/>
      </c>
      <c r="T199" s="19">
        <f>EOMONTH(Q199, 0)</f>
        <v/>
      </c>
      <c r="U199" s="20">
        <f>NOW()</f>
        <v/>
      </c>
      <c r="V199" s="10">
        <f>IF(ISNUMBER(MATCH(C199, $X$5:$X$18, 0)), "VIP Match", "Standard")</f>
        <v/>
      </c>
    </row>
    <row r="200">
      <c r="A200" s="16" t="inlineStr">
        <is>
          <t>TXN-2196</t>
        </is>
      </c>
      <c r="B200" s="16" t="inlineStr">
        <is>
          <t>2026-03-07</t>
        </is>
      </c>
      <c r="C200" s="10" t="inlineStr">
        <is>
          <t>Customer 021</t>
        </is>
      </c>
      <c r="D200" s="10" t="inlineStr">
        <is>
          <t>Corporate</t>
        </is>
      </c>
      <c r="E200" s="10" t="inlineStr">
        <is>
          <t>Central</t>
        </is>
      </c>
      <c r="F200" s="10" t="inlineStr">
        <is>
          <t>Cloud Intelligence Suite</t>
        </is>
      </c>
      <c r="G200" s="10">
        <f>UPPER(LEFT(F200, 3)) &amp; "-" &amp; TEXT(LEN(F200), "00")</f>
        <v/>
      </c>
      <c r="H200" s="10" t="n">
        <v>12</v>
      </c>
      <c r="I200" s="17" t="n">
        <v>366.25</v>
      </c>
      <c r="J200" s="17">
        <f>H200*I200</f>
        <v/>
      </c>
      <c r="K200" s="18" t="n">
        <v>0.2</v>
      </c>
      <c r="L200" s="17">
        <f>J200*K200</f>
        <v/>
      </c>
      <c r="M200" s="17">
        <f>J200-L200</f>
        <v/>
      </c>
      <c r="N200" s="17">
        <f>J200*0.53</f>
        <v/>
      </c>
      <c r="O200" s="17">
        <f>M200-N200</f>
        <v/>
      </c>
      <c r="P200" s="18">
        <f>O200/M200</f>
        <v/>
      </c>
      <c r="Q200" s="16" t="inlineStr">
        <is>
          <t>2026-03-07</t>
        </is>
      </c>
      <c r="R200" s="16" t="inlineStr">
        <is>
          <t>2026-03-13</t>
        </is>
      </c>
      <c r="S200" s="10">
        <f>DATEDIF(Q200, R200, "d")</f>
        <v/>
      </c>
      <c r="T200" s="19">
        <f>EOMONTH(Q200, 0)</f>
        <v/>
      </c>
      <c r="U200" s="20">
        <f>NOW()</f>
        <v/>
      </c>
      <c r="V200" s="10">
        <f>IF(ISNUMBER(MATCH(C200, $X$5:$X$18, 0)), "VIP Match", "Standard")</f>
        <v/>
      </c>
    </row>
    <row r="201">
      <c r="A201" s="16" t="inlineStr">
        <is>
          <t>TXN-2197</t>
        </is>
      </c>
      <c r="B201" s="16" t="inlineStr">
        <is>
          <t>2026-02-26</t>
        </is>
      </c>
      <c r="C201" s="10" t="inlineStr">
        <is>
          <t>Customer 008</t>
        </is>
      </c>
      <c r="D201" s="10" t="inlineStr">
        <is>
          <t>Wholesale</t>
        </is>
      </c>
      <c r="E201" s="10" t="inlineStr">
        <is>
          <t>East</t>
        </is>
      </c>
      <c r="F201" s="10" t="inlineStr">
        <is>
          <t>Cloud Intelligence Suite</t>
        </is>
      </c>
      <c r="G201" s="10">
        <f>UPPER(LEFT(F201, 3)) &amp; "-" &amp; TEXT(LEN(F201), "00")</f>
        <v/>
      </c>
      <c r="H201" s="10" t="n">
        <v>34</v>
      </c>
      <c r="I201" s="17" t="n">
        <v>254.35</v>
      </c>
      <c r="J201" s="17">
        <f>H201*I201</f>
        <v/>
      </c>
      <c r="K201" s="18" t="n">
        <v>0.2</v>
      </c>
      <c r="L201" s="17">
        <f>J201*K201</f>
        <v/>
      </c>
      <c r="M201" s="17">
        <f>J201-L201</f>
        <v/>
      </c>
      <c r="N201" s="17">
        <f>J201*0.51</f>
        <v/>
      </c>
      <c r="O201" s="17">
        <f>M201-N201</f>
        <v/>
      </c>
      <c r="P201" s="18">
        <f>O201/M201</f>
        <v/>
      </c>
      <c r="Q201" s="16" t="inlineStr">
        <is>
          <t>2026-02-26</t>
        </is>
      </c>
      <c r="R201" s="16" t="inlineStr">
        <is>
          <t>2026-02-28</t>
        </is>
      </c>
      <c r="S201" s="10">
        <f>DATEDIF(Q201, R201, "d")</f>
        <v/>
      </c>
      <c r="T201" s="19">
        <f>EOMONTH(Q201, 0)</f>
        <v/>
      </c>
      <c r="U201" s="20">
        <f>NOW()</f>
        <v/>
      </c>
      <c r="V201" s="10">
        <f>IF(ISNUMBER(MATCH(C201, $X$5:$X$18, 0)), "VIP Match", "Standard")</f>
        <v/>
      </c>
    </row>
    <row r="202">
      <c r="A202" s="16" t="inlineStr">
        <is>
          <t>TXN-2198</t>
        </is>
      </c>
      <c r="B202" s="16" t="inlineStr">
        <is>
          <t>2026-01-29</t>
        </is>
      </c>
      <c r="C202" s="10" t="inlineStr">
        <is>
          <t>Customer 050</t>
        </is>
      </c>
      <c r="D202" s="10" t="inlineStr">
        <is>
          <t>Corporate</t>
        </is>
      </c>
      <c r="E202" s="10" t="inlineStr">
        <is>
          <t>South</t>
        </is>
      </c>
      <c r="F202" s="10" t="inlineStr">
        <is>
          <t>AI Insights Engine</t>
        </is>
      </c>
      <c r="G202" s="10">
        <f>UPPER(LEFT(F202, 3)) &amp; "-" &amp; TEXT(LEN(F202), "00")</f>
        <v/>
      </c>
      <c r="H202" s="10" t="n">
        <v>116</v>
      </c>
      <c r="I202" s="17" t="n">
        <v>295.64</v>
      </c>
      <c r="J202" s="17">
        <f>H202*I202</f>
        <v/>
      </c>
      <c r="K202" s="18" t="n">
        <v>0</v>
      </c>
      <c r="L202" s="17">
        <f>J202*K202</f>
        <v/>
      </c>
      <c r="M202" s="17">
        <f>J202-L202</f>
        <v/>
      </c>
      <c r="N202" s="17">
        <f>J202*0.48</f>
        <v/>
      </c>
      <c r="O202" s="17">
        <f>M202-N202</f>
        <v/>
      </c>
      <c r="P202" s="18">
        <f>O202/M202</f>
        <v/>
      </c>
      <c r="Q202" s="16" t="inlineStr">
        <is>
          <t>2026-01-29</t>
        </is>
      </c>
      <c r="R202" s="16" t="inlineStr">
        <is>
          <t>2026-02-08</t>
        </is>
      </c>
      <c r="S202" s="10">
        <f>DATEDIF(Q202, R202, "d")</f>
        <v/>
      </c>
      <c r="T202" s="19">
        <f>EOMONTH(Q202, 0)</f>
        <v/>
      </c>
      <c r="U202" s="20">
        <f>NOW()</f>
        <v/>
      </c>
      <c r="V202" s="10">
        <f>IF(ISNUMBER(MATCH(C202, $X$5:$X$18, 0)), "VIP Match", "Standard")</f>
        <v/>
      </c>
    </row>
    <row r="203">
      <c r="A203" s="16" t="inlineStr">
        <is>
          <t>TXN-2199</t>
        </is>
      </c>
      <c r="B203" s="16" t="inlineStr">
        <is>
          <t>2026-03-06</t>
        </is>
      </c>
      <c r="C203" s="10" t="inlineStr">
        <is>
          <t>Customer 035</t>
        </is>
      </c>
      <c r="D203" s="10" t="inlineStr">
        <is>
          <t>Wholesale</t>
        </is>
      </c>
      <c r="E203" s="10" t="inlineStr">
        <is>
          <t>North</t>
        </is>
      </c>
      <c r="F203" s="10" t="inlineStr">
        <is>
          <t>Cloud Intelligence Suite</t>
        </is>
      </c>
      <c r="G203" s="10">
        <f>UPPER(LEFT(F203, 3)) &amp; "-" &amp; TEXT(LEN(F203), "00")</f>
        <v/>
      </c>
      <c r="H203" s="10" t="n">
        <v>87</v>
      </c>
      <c r="I203" s="17" t="n">
        <v>362.18</v>
      </c>
      <c r="J203" s="17">
        <f>H203*I203</f>
        <v/>
      </c>
      <c r="K203" s="18" t="n">
        <v>0</v>
      </c>
      <c r="L203" s="17">
        <f>J203*K203</f>
        <v/>
      </c>
      <c r="M203" s="17">
        <f>J203-L203</f>
        <v/>
      </c>
      <c r="N203" s="17">
        <f>J203*0.64</f>
        <v/>
      </c>
      <c r="O203" s="17">
        <f>M203-N203</f>
        <v/>
      </c>
      <c r="P203" s="18">
        <f>O203/M203</f>
        <v/>
      </c>
      <c r="Q203" s="16" t="inlineStr">
        <is>
          <t>2026-03-06</t>
        </is>
      </c>
      <c r="R203" s="16" t="inlineStr">
        <is>
          <t>2026-03-16</t>
        </is>
      </c>
      <c r="S203" s="10">
        <f>DATEDIF(Q203, R203, "d")</f>
        <v/>
      </c>
      <c r="T203" s="19">
        <f>EOMONTH(Q203, 0)</f>
        <v/>
      </c>
      <c r="U203" s="20">
        <f>NOW()</f>
        <v/>
      </c>
      <c r="V203" s="10">
        <f>IF(ISNUMBER(MATCH(C203, $X$5:$X$18, 0)), "VIP Match", "Standard")</f>
        <v/>
      </c>
    </row>
    <row r="204">
      <c r="A204" s="16" t="inlineStr">
        <is>
          <t>TXN-2200</t>
        </is>
      </c>
      <c r="B204" s="16" t="inlineStr">
        <is>
          <t>2026-04-17</t>
        </is>
      </c>
      <c r="C204" s="10" t="inlineStr">
        <is>
          <t>Customer 024</t>
        </is>
      </c>
      <c r="D204" s="10" t="inlineStr">
        <is>
          <t>Retail</t>
        </is>
      </c>
      <c r="E204" s="10" t="inlineStr">
        <is>
          <t>North</t>
        </is>
      </c>
      <c r="F204" s="10" t="inlineStr">
        <is>
          <t>Enterprise Analytics Pro</t>
        </is>
      </c>
      <c r="G204" s="10">
        <f>UPPER(LEFT(F204, 3)) &amp; "-" &amp; TEXT(LEN(F204), "00")</f>
        <v/>
      </c>
      <c r="H204" s="10" t="n">
        <v>23</v>
      </c>
      <c r="I204" s="17" t="n">
        <v>389.67</v>
      </c>
      <c r="J204" s="17">
        <f>H204*I204</f>
        <v/>
      </c>
      <c r="K204" s="18" t="n">
        <v>0.05</v>
      </c>
      <c r="L204" s="17">
        <f>J204*K204</f>
        <v/>
      </c>
      <c r="M204" s="17">
        <f>J204-L204</f>
        <v/>
      </c>
      <c r="N204" s="17">
        <f>J204*0.49</f>
        <v/>
      </c>
      <c r="O204" s="17">
        <f>M204-N204</f>
        <v/>
      </c>
      <c r="P204" s="18">
        <f>O204/M204</f>
        <v/>
      </c>
      <c r="Q204" s="16" t="inlineStr">
        <is>
          <t>2026-04-17</t>
        </is>
      </c>
      <c r="R204" s="16" t="inlineStr">
        <is>
          <t>2026-04-23</t>
        </is>
      </c>
      <c r="S204" s="10">
        <f>DATEDIF(Q204, R204, "d")</f>
        <v/>
      </c>
      <c r="T204" s="19">
        <f>EOMONTH(Q204, 0)</f>
        <v/>
      </c>
      <c r="U204" s="20">
        <f>NOW()</f>
        <v/>
      </c>
      <c r="V204" s="10">
        <f>IF(ISNUMBER(MATCH(C204, $X$5:$X$18, 0)), "VIP Match", "Standard")</f>
        <v/>
      </c>
    </row>
    <row r="205">
      <c r="A205" s="16" t="inlineStr">
        <is>
          <t>TXN-2201</t>
        </is>
      </c>
      <c r="B205" s="16" t="inlineStr">
        <is>
          <t>2026-03-07</t>
        </is>
      </c>
      <c r="C205" s="10" t="inlineStr">
        <is>
          <t>Customer 031</t>
        </is>
      </c>
      <c r="D205" s="10" t="inlineStr">
        <is>
          <t>Wholesale</t>
        </is>
      </c>
      <c r="E205" s="10" t="inlineStr">
        <is>
          <t>North</t>
        </is>
      </c>
      <c r="F205" s="10" t="inlineStr">
        <is>
          <t>Enterprise Analytics Pro</t>
        </is>
      </c>
      <c r="G205" s="10">
        <f>UPPER(LEFT(F205, 3)) &amp; "-" &amp; TEXT(LEN(F205), "00")</f>
        <v/>
      </c>
      <c r="H205" s="10" t="n">
        <v>60</v>
      </c>
      <c r="I205" s="17" t="n">
        <v>255.86</v>
      </c>
      <c r="J205" s="17">
        <f>H205*I205</f>
        <v/>
      </c>
      <c r="K205" s="18" t="n">
        <v>0.2</v>
      </c>
      <c r="L205" s="17">
        <f>J205*K205</f>
        <v/>
      </c>
      <c r="M205" s="17">
        <f>J205-L205</f>
        <v/>
      </c>
      <c r="N205" s="17">
        <f>J205*0.46</f>
        <v/>
      </c>
      <c r="O205" s="17">
        <f>M205-N205</f>
        <v/>
      </c>
      <c r="P205" s="18">
        <f>O205/M205</f>
        <v/>
      </c>
      <c r="Q205" s="16" t="inlineStr">
        <is>
          <t>2026-03-07</t>
        </is>
      </c>
      <c r="R205" s="16" t="inlineStr">
        <is>
          <t>2026-03-15</t>
        </is>
      </c>
      <c r="S205" s="10">
        <f>DATEDIF(Q205, R205, "d")</f>
        <v/>
      </c>
      <c r="T205" s="19">
        <f>EOMONTH(Q205, 0)</f>
        <v/>
      </c>
      <c r="U205" s="20">
        <f>NOW()</f>
        <v/>
      </c>
      <c r="V205" s="10">
        <f>IF(ISNUMBER(MATCH(C205, $X$5:$X$18, 0)), "VIP Match", "Standard")</f>
        <v/>
      </c>
    </row>
    <row r="206">
      <c r="A206" s="16" t="inlineStr">
        <is>
          <t>TXN-2202</t>
        </is>
      </c>
      <c r="B206" s="16" t="inlineStr">
        <is>
          <t>2026-05-27</t>
        </is>
      </c>
      <c r="C206" s="10" t="inlineStr">
        <is>
          <t>Customer 037</t>
        </is>
      </c>
      <c r="D206" s="10" t="inlineStr">
        <is>
          <t>Retail</t>
        </is>
      </c>
      <c r="E206" s="10" t="inlineStr">
        <is>
          <t>South</t>
        </is>
      </c>
      <c r="F206" s="10" t="inlineStr">
        <is>
          <t>Data Vault Ultra</t>
        </is>
      </c>
      <c r="G206" s="10">
        <f>UPPER(LEFT(F206, 3)) &amp; "-" &amp; TEXT(LEN(F206), "00")</f>
        <v/>
      </c>
      <c r="H206" s="10" t="n">
        <v>22</v>
      </c>
      <c r="I206" s="17" t="n">
        <v>334.63</v>
      </c>
      <c r="J206" s="17">
        <f>H206*I206</f>
        <v/>
      </c>
      <c r="K206" s="18" t="n">
        <v>0.15</v>
      </c>
      <c r="L206" s="17">
        <f>J206*K206</f>
        <v/>
      </c>
      <c r="M206" s="17">
        <f>J206-L206</f>
        <v/>
      </c>
      <c r="N206" s="17">
        <f>J206*0.51</f>
        <v/>
      </c>
      <c r="O206" s="17">
        <f>M206-N206</f>
        <v/>
      </c>
      <c r="P206" s="18">
        <f>O206/M206</f>
        <v/>
      </c>
      <c r="Q206" s="16" t="inlineStr">
        <is>
          <t>2026-05-27</t>
        </is>
      </c>
      <c r="R206" s="16" t="inlineStr">
        <is>
          <t>2026-06-02</t>
        </is>
      </c>
      <c r="S206" s="10">
        <f>DATEDIF(Q206, R206, "d")</f>
        <v/>
      </c>
      <c r="T206" s="19">
        <f>EOMONTH(Q206, 0)</f>
        <v/>
      </c>
      <c r="U206" s="20">
        <f>NOW()</f>
        <v/>
      </c>
      <c r="V206" s="10">
        <f>IF(ISNUMBER(MATCH(C206, $X$5:$X$18, 0)), "VIP Match", "Standard")</f>
        <v/>
      </c>
    </row>
    <row r="207">
      <c r="A207" s="16" t="inlineStr">
        <is>
          <t>TXN-2203</t>
        </is>
      </c>
      <c r="B207" s="16" t="inlineStr">
        <is>
          <t>2026-02-09</t>
        </is>
      </c>
      <c r="C207" s="10" t="inlineStr">
        <is>
          <t>Customer 022</t>
        </is>
      </c>
      <c r="D207" s="10" t="inlineStr">
        <is>
          <t>Enterprise</t>
        </is>
      </c>
      <c r="E207" s="10" t="inlineStr">
        <is>
          <t>North</t>
        </is>
      </c>
      <c r="F207" s="10" t="inlineStr">
        <is>
          <t>Smart Metrics Dashboard</t>
        </is>
      </c>
      <c r="G207" s="10">
        <f>UPPER(LEFT(F207, 3)) &amp; "-" &amp; TEXT(LEN(F207), "00")</f>
        <v/>
      </c>
      <c r="H207" s="10" t="n">
        <v>99</v>
      </c>
      <c r="I207" s="17" t="n">
        <v>164.02</v>
      </c>
      <c r="J207" s="17">
        <f>H207*I207</f>
        <v/>
      </c>
      <c r="K207" s="18" t="n">
        <v>0.2</v>
      </c>
      <c r="L207" s="17">
        <f>J207*K207</f>
        <v/>
      </c>
      <c r="M207" s="17">
        <f>J207-L207</f>
        <v/>
      </c>
      <c r="N207" s="17">
        <f>J207*0.57</f>
        <v/>
      </c>
      <c r="O207" s="17">
        <f>M207-N207</f>
        <v/>
      </c>
      <c r="P207" s="18">
        <f>O207/M207</f>
        <v/>
      </c>
      <c r="Q207" s="16" t="inlineStr">
        <is>
          <t>2026-02-09</t>
        </is>
      </c>
      <c r="R207" s="16" t="inlineStr">
        <is>
          <t>2026-02-17</t>
        </is>
      </c>
      <c r="S207" s="10">
        <f>DATEDIF(Q207, R207, "d")</f>
        <v/>
      </c>
      <c r="T207" s="19">
        <f>EOMONTH(Q207, 0)</f>
        <v/>
      </c>
      <c r="U207" s="20">
        <f>NOW()</f>
        <v/>
      </c>
      <c r="V207" s="10">
        <f>IF(ISNUMBER(MATCH(C207, $X$5:$X$18, 0)), "VIP Match", "Standard")</f>
        <v/>
      </c>
    </row>
    <row r="208">
      <c r="A208" s="16" t="inlineStr">
        <is>
          <t>TXN-2204</t>
        </is>
      </c>
      <c r="B208" s="16" t="inlineStr">
        <is>
          <t>2026-05-24</t>
        </is>
      </c>
      <c r="C208" s="10" t="inlineStr">
        <is>
          <t>Customer 034</t>
        </is>
      </c>
      <c r="D208" s="10" t="inlineStr">
        <is>
          <t>Corporate</t>
        </is>
      </c>
      <c r="E208" s="10" t="inlineStr">
        <is>
          <t>Central</t>
        </is>
      </c>
      <c r="F208" s="10" t="inlineStr">
        <is>
          <t>Data Vault Ultra</t>
        </is>
      </c>
      <c r="G208" s="10">
        <f>UPPER(LEFT(F208, 3)) &amp; "-" &amp; TEXT(LEN(F208), "00")</f>
        <v/>
      </c>
      <c r="H208" s="10" t="n">
        <v>12</v>
      </c>
      <c r="I208" s="17" t="n">
        <v>319.09</v>
      </c>
      <c r="J208" s="17">
        <f>H208*I208</f>
        <v/>
      </c>
      <c r="K208" s="18" t="n">
        <v>0.2</v>
      </c>
      <c r="L208" s="17">
        <f>J208*K208</f>
        <v/>
      </c>
      <c r="M208" s="17">
        <f>J208-L208</f>
        <v/>
      </c>
      <c r="N208" s="17">
        <f>J208*0.48</f>
        <v/>
      </c>
      <c r="O208" s="17">
        <f>M208-N208</f>
        <v/>
      </c>
      <c r="P208" s="18">
        <f>O208/M208</f>
        <v/>
      </c>
      <c r="Q208" s="16" t="inlineStr">
        <is>
          <t>2026-05-24</t>
        </is>
      </c>
      <c r="R208" s="16" t="inlineStr">
        <is>
          <t>2026-06-03</t>
        </is>
      </c>
      <c r="S208" s="10">
        <f>DATEDIF(Q208, R208, "d")</f>
        <v/>
      </c>
      <c r="T208" s="19">
        <f>EOMONTH(Q208, 0)</f>
        <v/>
      </c>
      <c r="U208" s="20">
        <f>NOW()</f>
        <v/>
      </c>
      <c r="V208" s="10">
        <f>IF(ISNUMBER(MATCH(C208, $X$5:$X$18, 0)), "VIP Match", "Standard")</f>
        <v/>
      </c>
    </row>
    <row r="209">
      <c r="A209" s="16" t="inlineStr">
        <is>
          <t>TXN-2205</t>
        </is>
      </c>
      <c r="B209" s="16" t="inlineStr">
        <is>
          <t>2026-01-24</t>
        </is>
      </c>
      <c r="C209" s="10" t="inlineStr">
        <is>
          <t>Customer 035</t>
        </is>
      </c>
      <c r="D209" s="10" t="inlineStr">
        <is>
          <t>Enterprise</t>
        </is>
      </c>
      <c r="E209" s="10" t="inlineStr">
        <is>
          <t>West</t>
        </is>
      </c>
      <c r="F209" s="10" t="inlineStr">
        <is>
          <t>Data Vault Ultra</t>
        </is>
      </c>
      <c r="G209" s="10">
        <f>UPPER(LEFT(F209, 3)) &amp; "-" &amp; TEXT(LEN(F209), "00")</f>
        <v/>
      </c>
      <c r="H209" s="10" t="n">
        <v>39</v>
      </c>
      <c r="I209" s="17" t="n">
        <v>146.36</v>
      </c>
      <c r="J209" s="17">
        <f>H209*I209</f>
        <v/>
      </c>
      <c r="K209" s="18" t="n">
        <v>0.05</v>
      </c>
      <c r="L209" s="17">
        <f>J209*K209</f>
        <v/>
      </c>
      <c r="M209" s="17">
        <f>J209-L209</f>
        <v/>
      </c>
      <c r="N209" s="17">
        <f>J209*0.60</f>
        <v/>
      </c>
      <c r="O209" s="17">
        <f>M209-N209</f>
        <v/>
      </c>
      <c r="P209" s="18">
        <f>O209/M209</f>
        <v/>
      </c>
      <c r="Q209" s="16" t="inlineStr">
        <is>
          <t>2026-01-24</t>
        </is>
      </c>
      <c r="R209" s="16" t="inlineStr">
        <is>
          <t>2026-01-29</t>
        </is>
      </c>
      <c r="S209" s="10">
        <f>DATEDIF(Q209, R209, "d")</f>
        <v/>
      </c>
      <c r="T209" s="19">
        <f>EOMONTH(Q209, 0)</f>
        <v/>
      </c>
      <c r="U209" s="20">
        <f>NOW()</f>
        <v/>
      </c>
      <c r="V209" s="10">
        <f>IF(ISNUMBER(MATCH(C209, $X$5:$X$18, 0)), "VIP Match", "Standard")</f>
        <v/>
      </c>
    </row>
    <row r="210">
      <c r="A210" s="16" t="inlineStr">
        <is>
          <t>TXN-2206</t>
        </is>
      </c>
      <c r="B210" s="16" t="inlineStr">
        <is>
          <t>2026-06-11</t>
        </is>
      </c>
      <c r="C210" s="10" t="inlineStr">
        <is>
          <t>Customer 043</t>
        </is>
      </c>
      <c r="D210" s="10" t="inlineStr">
        <is>
          <t>Wholesale</t>
        </is>
      </c>
      <c r="E210" s="10" t="inlineStr">
        <is>
          <t>West</t>
        </is>
      </c>
      <c r="F210" s="10" t="inlineStr">
        <is>
          <t>Smart Metrics Dashboard</t>
        </is>
      </c>
      <c r="G210" s="10">
        <f>UPPER(LEFT(F210, 3)) &amp; "-" &amp; TEXT(LEN(F210), "00")</f>
        <v/>
      </c>
      <c r="H210" s="10" t="n">
        <v>24</v>
      </c>
      <c r="I210" s="17" t="n">
        <v>80.58</v>
      </c>
      <c r="J210" s="17">
        <f>H210*I210</f>
        <v/>
      </c>
      <c r="K210" s="18" t="n">
        <v>0.2</v>
      </c>
      <c r="L210" s="17">
        <f>J210*K210</f>
        <v/>
      </c>
      <c r="M210" s="17">
        <f>J210-L210</f>
        <v/>
      </c>
      <c r="N210" s="17">
        <f>J210*0.65</f>
        <v/>
      </c>
      <c r="O210" s="17">
        <f>M210-N210</f>
        <v/>
      </c>
      <c r="P210" s="18">
        <f>O210/M210</f>
        <v/>
      </c>
      <c r="Q210" s="16" t="inlineStr">
        <is>
          <t>2026-06-11</t>
        </is>
      </c>
      <c r="R210" s="16" t="inlineStr">
        <is>
          <t>2026-06-16</t>
        </is>
      </c>
      <c r="S210" s="10">
        <f>DATEDIF(Q210, R210, "d")</f>
        <v/>
      </c>
      <c r="T210" s="19">
        <f>EOMONTH(Q210, 0)</f>
        <v/>
      </c>
      <c r="U210" s="20">
        <f>NOW()</f>
        <v/>
      </c>
      <c r="V210" s="10">
        <f>IF(ISNUMBER(MATCH(C210, $X$5:$X$18, 0)), "VIP Match", "Standard")</f>
        <v/>
      </c>
    </row>
    <row r="211">
      <c r="A211" s="16" t="inlineStr">
        <is>
          <t>TXN-2207</t>
        </is>
      </c>
      <c r="B211" s="16" t="inlineStr">
        <is>
          <t>2026-04-22</t>
        </is>
      </c>
      <c r="C211" s="10" t="inlineStr">
        <is>
          <t>Customer 033</t>
        </is>
      </c>
      <c r="D211" s="10" t="inlineStr">
        <is>
          <t>Retail</t>
        </is>
      </c>
      <c r="E211" s="10" t="inlineStr">
        <is>
          <t>South</t>
        </is>
      </c>
      <c r="F211" s="10" t="inlineStr">
        <is>
          <t>Data Vault Ultra</t>
        </is>
      </c>
      <c r="G211" s="10">
        <f>UPPER(LEFT(F211, 3)) &amp; "-" &amp; TEXT(LEN(F211), "00")</f>
        <v/>
      </c>
      <c r="H211" s="10" t="n">
        <v>84</v>
      </c>
      <c r="I211" s="17" t="n">
        <v>73.73</v>
      </c>
      <c r="J211" s="17">
        <f>H211*I211</f>
        <v/>
      </c>
      <c r="K211" s="18" t="n">
        <v>0.2</v>
      </c>
      <c r="L211" s="17">
        <f>J211*K211</f>
        <v/>
      </c>
      <c r="M211" s="17">
        <f>J211-L211</f>
        <v/>
      </c>
      <c r="N211" s="17">
        <f>J211*0.64</f>
        <v/>
      </c>
      <c r="O211" s="17">
        <f>M211-N211</f>
        <v/>
      </c>
      <c r="P211" s="18">
        <f>O211/M211</f>
        <v/>
      </c>
      <c r="Q211" s="16" t="inlineStr">
        <is>
          <t>2026-04-22</t>
        </is>
      </c>
      <c r="R211" s="16" t="inlineStr">
        <is>
          <t>2026-04-23</t>
        </is>
      </c>
      <c r="S211" s="10">
        <f>DATEDIF(Q211, R211, "d")</f>
        <v/>
      </c>
      <c r="T211" s="19">
        <f>EOMONTH(Q211, 0)</f>
        <v/>
      </c>
      <c r="U211" s="20">
        <f>NOW()</f>
        <v/>
      </c>
      <c r="V211" s="10">
        <f>IF(ISNUMBER(MATCH(C211, $X$5:$X$18, 0)), "VIP Match", "Standard")</f>
        <v/>
      </c>
    </row>
    <row r="212">
      <c r="A212" s="16" t="inlineStr">
        <is>
          <t>TXN-2208</t>
        </is>
      </c>
      <c r="B212" s="16" t="inlineStr">
        <is>
          <t>2026-06-19</t>
        </is>
      </c>
      <c r="C212" s="10" t="inlineStr">
        <is>
          <t>Customer 021</t>
        </is>
      </c>
      <c r="D212" s="10" t="inlineStr">
        <is>
          <t>Retail</t>
        </is>
      </c>
      <c r="E212" s="10" t="inlineStr">
        <is>
          <t>West</t>
        </is>
      </c>
      <c r="F212" s="10" t="inlineStr">
        <is>
          <t>Data Vault Ultra</t>
        </is>
      </c>
      <c r="G212" s="10">
        <f>UPPER(LEFT(F212, 3)) &amp; "-" &amp; TEXT(LEN(F212), "00")</f>
        <v/>
      </c>
      <c r="H212" s="10" t="n">
        <v>63</v>
      </c>
      <c r="I212" s="17" t="n">
        <v>116.11</v>
      </c>
      <c r="J212" s="17">
        <f>H212*I212</f>
        <v/>
      </c>
      <c r="K212" s="18" t="n">
        <v>0</v>
      </c>
      <c r="L212" s="17">
        <f>J212*K212</f>
        <v/>
      </c>
      <c r="M212" s="17">
        <f>J212-L212</f>
        <v/>
      </c>
      <c r="N212" s="17">
        <f>J212*0.48</f>
        <v/>
      </c>
      <c r="O212" s="17">
        <f>M212-N212</f>
        <v/>
      </c>
      <c r="P212" s="18">
        <f>O212/M212</f>
        <v/>
      </c>
      <c r="Q212" s="16" t="inlineStr">
        <is>
          <t>2026-06-19</t>
        </is>
      </c>
      <c r="R212" s="16" t="inlineStr">
        <is>
          <t>2026-06-21</t>
        </is>
      </c>
      <c r="S212" s="10">
        <f>DATEDIF(Q212, R212, "d")</f>
        <v/>
      </c>
      <c r="T212" s="19">
        <f>EOMONTH(Q212, 0)</f>
        <v/>
      </c>
      <c r="U212" s="20">
        <f>NOW()</f>
        <v/>
      </c>
      <c r="V212" s="10">
        <f>IF(ISNUMBER(MATCH(C212, $X$5:$X$18, 0)), "VIP Match", "Standard")</f>
        <v/>
      </c>
    </row>
    <row r="213">
      <c r="A213" s="16" t="inlineStr">
        <is>
          <t>TXN-2209</t>
        </is>
      </c>
      <c r="B213" s="16" t="inlineStr">
        <is>
          <t>2026-01-02</t>
        </is>
      </c>
      <c r="C213" s="10" t="inlineStr">
        <is>
          <t>Customer 035</t>
        </is>
      </c>
      <c r="D213" s="10" t="inlineStr">
        <is>
          <t>Enterprise</t>
        </is>
      </c>
      <c r="E213" s="10" t="inlineStr">
        <is>
          <t>South</t>
        </is>
      </c>
      <c r="F213" s="10" t="inlineStr">
        <is>
          <t>Cloud Intelligence Suite</t>
        </is>
      </c>
      <c r="G213" s="10">
        <f>UPPER(LEFT(F213, 3)) &amp; "-" &amp; TEXT(LEN(F213), "00")</f>
        <v/>
      </c>
      <c r="H213" s="10" t="n">
        <v>35</v>
      </c>
      <c r="I213" s="17" t="n">
        <v>183.39</v>
      </c>
      <c r="J213" s="17">
        <f>H213*I213</f>
        <v/>
      </c>
      <c r="K213" s="18" t="n">
        <v>0.05</v>
      </c>
      <c r="L213" s="17">
        <f>J213*K213</f>
        <v/>
      </c>
      <c r="M213" s="17">
        <f>J213-L213</f>
        <v/>
      </c>
      <c r="N213" s="17">
        <f>J213*0.59</f>
        <v/>
      </c>
      <c r="O213" s="17">
        <f>M213-N213</f>
        <v/>
      </c>
      <c r="P213" s="18">
        <f>O213/M213</f>
        <v/>
      </c>
      <c r="Q213" s="16" t="inlineStr">
        <is>
          <t>2026-01-02</t>
        </is>
      </c>
      <c r="R213" s="16" t="inlineStr">
        <is>
          <t>2026-01-11</t>
        </is>
      </c>
      <c r="S213" s="10">
        <f>DATEDIF(Q213, R213, "d")</f>
        <v/>
      </c>
      <c r="T213" s="19">
        <f>EOMONTH(Q213, 0)</f>
        <v/>
      </c>
      <c r="U213" s="20">
        <f>NOW()</f>
        <v/>
      </c>
      <c r="V213" s="10">
        <f>IF(ISNUMBER(MATCH(C213, $X$5:$X$18, 0)), "VIP Match", "Standard")</f>
        <v/>
      </c>
    </row>
    <row r="214">
      <c r="A214" s="16" t="inlineStr">
        <is>
          <t>TXN-2210</t>
        </is>
      </c>
      <c r="B214" s="16" t="inlineStr">
        <is>
          <t>2026-04-02</t>
        </is>
      </c>
      <c r="C214" s="10" t="inlineStr">
        <is>
          <t>Customer 010</t>
        </is>
      </c>
      <c r="D214" s="10" t="inlineStr">
        <is>
          <t>Enterprise</t>
        </is>
      </c>
      <c r="E214" s="10" t="inlineStr">
        <is>
          <t>South</t>
        </is>
      </c>
      <c r="F214" s="10" t="inlineStr">
        <is>
          <t>AI Insights Engine</t>
        </is>
      </c>
      <c r="G214" s="10">
        <f>UPPER(LEFT(F214, 3)) &amp; "-" &amp; TEXT(LEN(F214), "00")</f>
        <v/>
      </c>
      <c r="H214" s="10" t="n">
        <v>117</v>
      </c>
      <c r="I214" s="17" t="n">
        <v>191.96</v>
      </c>
      <c r="J214" s="17">
        <f>H214*I214</f>
        <v/>
      </c>
      <c r="K214" s="18" t="n">
        <v>0.2</v>
      </c>
      <c r="L214" s="17">
        <f>J214*K214</f>
        <v/>
      </c>
      <c r="M214" s="17">
        <f>J214-L214</f>
        <v/>
      </c>
      <c r="N214" s="17">
        <f>J214*0.53</f>
        <v/>
      </c>
      <c r="O214" s="17">
        <f>M214-N214</f>
        <v/>
      </c>
      <c r="P214" s="18">
        <f>O214/M214</f>
        <v/>
      </c>
      <c r="Q214" s="16" t="inlineStr">
        <is>
          <t>2026-04-02</t>
        </is>
      </c>
      <c r="R214" s="16" t="inlineStr">
        <is>
          <t>2026-04-04</t>
        </is>
      </c>
      <c r="S214" s="10">
        <f>DATEDIF(Q214, R214, "d")</f>
        <v/>
      </c>
      <c r="T214" s="19">
        <f>EOMONTH(Q214, 0)</f>
        <v/>
      </c>
      <c r="U214" s="20">
        <f>NOW()</f>
        <v/>
      </c>
      <c r="V214" s="10">
        <f>IF(ISNUMBER(MATCH(C214, $X$5:$X$18, 0)), "VIP Match", "Standard")</f>
        <v/>
      </c>
    </row>
    <row r="215">
      <c r="A215" s="21" t="n"/>
      <c r="B215" s="21" t="n"/>
      <c r="C215" s="22" t="inlineStr">
        <is>
          <t>Total / Overview</t>
        </is>
      </c>
      <c r="D215" s="21" t="n"/>
      <c r="E215" s="21" t="n"/>
      <c r="F215" s="21" t="n"/>
      <c r="G215" s="21" t="n"/>
      <c r="H215" s="22">
        <f>SUM(H5:H214)</f>
        <v/>
      </c>
      <c r="I215" s="21" t="n"/>
      <c r="J215" s="23">
        <f>SUM(J5:J214)</f>
        <v/>
      </c>
      <c r="K215" s="21" t="n"/>
      <c r="L215" s="21" t="n"/>
      <c r="M215" s="23">
        <f>SUM(M5:M214)</f>
        <v/>
      </c>
      <c r="N215" s="21" t="n"/>
      <c r="O215" s="23">
        <f>SUM(O5:O214)</f>
        <v/>
      </c>
      <c r="P215" s="24">
        <f>AVERAGE(P5:P214)</f>
        <v/>
      </c>
      <c r="Q215" s="21" t="n"/>
      <c r="R215" s="21" t="n"/>
      <c r="S215" s="21" t="n"/>
      <c r="T215" s="21" t="n"/>
      <c r="U215" s="21" t="n"/>
      <c r="V215" s="21" t="n"/>
    </row>
  </sheetData>
  <conditionalFormatting sqref="O5:O2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23" customWidth="1" min="3" max="3"/>
    <col width="22" customWidth="1" min="4" max="4"/>
    <col width="24" customWidth="1" min="5" max="5"/>
    <col width="24" customWidth="1" min="6" max="6"/>
  </cols>
  <sheetData>
    <row r="1">
      <c r="A1" s="1" t="inlineStr">
        <is>
          <t>What-If Analysis: Scenario Manager &amp; Goal Seek</t>
        </is>
      </c>
    </row>
    <row r="2"/>
    <row r="3"/>
    <row r="4">
      <c r="A4" s="8" t="inlineStr">
        <is>
          <t>Goal Seek Target Model</t>
        </is>
      </c>
    </row>
    <row r="5"/>
    <row r="6">
      <c r="A6" t="inlineStr">
        <is>
          <t>Current Net Sales ($):</t>
        </is>
      </c>
      <c r="B6" s="25">
        <f>SUM('Final Project Dataset'!M5:M214)</f>
        <v/>
      </c>
    </row>
    <row r="7">
      <c r="A7" t="inlineStr">
        <is>
          <t>Target Profit Goal ($):</t>
        </is>
      </c>
      <c r="B7" s="25" t="n">
        <v>150000</v>
      </c>
    </row>
    <row r="8">
      <c r="A8" t="inlineStr">
        <is>
          <t>Required Sales Revenue to hit Target Goal:</t>
        </is>
      </c>
      <c r="B8" s="26">
        <f>B7 + SUM('Final Project Dataset'!N5:N214)</f>
        <v/>
      </c>
    </row>
    <row r="9"/>
    <row r="10"/>
    <row r="11">
      <c r="A11" s="8" t="inlineStr">
        <is>
          <t>Scenario Manager Matrix (Discount Rate Sensitivity)</t>
        </is>
      </c>
    </row>
    <row r="12">
      <c r="A12" s="9" t="inlineStr">
        <is>
          <t>Scenario Name</t>
        </is>
      </c>
      <c r="B12" s="9" t="inlineStr">
        <is>
          <t>Discount Adj. %</t>
        </is>
      </c>
      <c r="C12" s="9" t="inlineStr">
        <is>
          <t>Projected Sales ($)</t>
        </is>
      </c>
      <c r="D12" s="9" t="inlineStr">
        <is>
          <t>Projected COGS ($)</t>
        </is>
      </c>
      <c r="E12" s="9" t="inlineStr">
        <is>
          <t>Projected Profit ($)</t>
        </is>
      </c>
      <c r="F12" s="9" t="inlineStr">
        <is>
          <t>Profit Gain/Loss ($)</t>
        </is>
      </c>
    </row>
    <row r="13">
      <c r="A13" s="10" t="inlineStr">
        <is>
          <t>Conservative Scenario</t>
        </is>
      </c>
      <c r="B13" s="27" t="n">
        <v>0.02</v>
      </c>
      <c r="C13" s="11">
        <f>$B$6*(1-B13)</f>
        <v/>
      </c>
      <c r="D13" s="11">
        <f>SUM('Final Project Dataset'!N5:N214)</f>
        <v/>
      </c>
      <c r="E13" s="11">
        <f>C13-D13</f>
        <v/>
      </c>
      <c r="F13" s="11">
        <f>E13-E14</f>
        <v/>
      </c>
    </row>
    <row r="14">
      <c r="A14" s="10" t="inlineStr">
        <is>
          <t>Base Case Scenario</t>
        </is>
      </c>
      <c r="B14" s="27" t="n">
        <v>0.08</v>
      </c>
      <c r="C14" s="11">
        <f>$B$6*(1-B14)</f>
        <v/>
      </c>
      <c r="D14" s="11">
        <f>SUM('Final Project Dataset'!N5:N214)</f>
        <v/>
      </c>
      <c r="E14" s="11">
        <f>C14-D14</f>
        <v/>
      </c>
      <c r="F14" s="11">
        <f>E14-E14</f>
        <v/>
      </c>
    </row>
    <row r="15">
      <c r="A15" s="10" t="inlineStr">
        <is>
          <t>Aggressive Growth</t>
        </is>
      </c>
      <c r="B15" s="27" t="n">
        <v>0.12</v>
      </c>
      <c r="C15" s="11">
        <f>$B$6*(1-B15)</f>
        <v/>
      </c>
      <c r="D15" s="11">
        <f>SUM('Final Project Dataset'!N5:N214)</f>
        <v/>
      </c>
      <c r="E15" s="11">
        <f>C15-D15</f>
        <v/>
      </c>
      <c r="F15" s="11">
        <f>E15-E14</f>
        <v/>
      </c>
    </row>
    <row r="16">
      <c r="A16" s="10" t="inlineStr">
        <is>
          <t>Promotional Push</t>
        </is>
      </c>
      <c r="B16" s="27" t="n">
        <v>0.18</v>
      </c>
      <c r="C16" s="11">
        <f>$B$6*(1-B16)</f>
        <v/>
      </c>
      <c r="D16" s="11">
        <f>SUM('Final Project Dataset'!N5:N214)</f>
        <v/>
      </c>
      <c r="E16" s="11">
        <f>C16-D16</f>
        <v/>
      </c>
      <c r="F16" s="11">
        <f>E16-E14</f>
        <v/>
      </c>
    </row>
    <row r="17">
      <c r="A17" s="10" t="inlineStr">
        <is>
          <t>Maximum Discount</t>
        </is>
      </c>
      <c r="B17" s="27" t="n">
        <v>0.25</v>
      </c>
      <c r="C17" s="11">
        <f>$B$6*(1-B17)</f>
        <v/>
      </c>
      <c r="D17" s="11">
        <f>SUM('Final Project Dataset'!N5:N214)</f>
        <v/>
      </c>
      <c r="E17" s="11">
        <f>C17-D17</f>
        <v/>
      </c>
      <c r="F17" s="11">
        <f>E17-E14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45" customWidth="1" min="4" max="4"/>
    <col width="12" customWidth="1" min="5" max="5"/>
  </cols>
  <sheetData>
    <row r="1">
      <c r="A1" s="1" t="inlineStr">
        <is>
          <t>Data Analysis Toolpak Outputs</t>
        </is>
      </c>
    </row>
    <row r="2"/>
    <row r="3"/>
    <row r="4">
      <c r="A4" s="8" t="inlineStr">
        <is>
          <t>Descriptive Statistics (Net Revenue)</t>
        </is>
      </c>
      <c r="D4" s="8" t="inlineStr">
        <is>
          <t>Linear Regression (Profit vs Net Revenue)</t>
        </is>
      </c>
    </row>
    <row r="5"/>
    <row r="6">
      <c r="A6" s="9" t="inlineStr">
        <is>
          <t>Statistic</t>
        </is>
      </c>
      <c r="B6" s="9" t="inlineStr">
        <is>
          <t>Value</t>
        </is>
      </c>
      <c r="D6" s="9" t="inlineStr">
        <is>
          <t>Regression Statistics</t>
        </is>
      </c>
      <c r="E6" s="9" t="inlineStr">
        <is>
          <t>Value</t>
        </is>
      </c>
    </row>
    <row r="7">
      <c r="A7" s="10" t="inlineStr">
        <is>
          <t>Mean</t>
        </is>
      </c>
      <c r="B7" s="17">
        <f>AVERAGE('Final Project Dataset'!M5:M214)</f>
        <v/>
      </c>
      <c r="D7" s="10" t="inlineStr">
        <is>
          <t>Multiple R</t>
        </is>
      </c>
      <c r="E7" s="28" t="n">
        <v>0.9409999999999999</v>
      </c>
    </row>
    <row r="8">
      <c r="A8" s="10" t="inlineStr">
        <is>
          <t>Standard Error</t>
        </is>
      </c>
      <c r="B8" s="17">
        <f>STDEV.S('Final Project Dataset'!M5:M214)/SQRT(COUNT('Final Project Dataset'!M5:M214))</f>
        <v/>
      </c>
      <c r="D8" s="10" t="inlineStr">
        <is>
          <t>R Square</t>
        </is>
      </c>
      <c r="E8" s="28" t="n">
        <v>0.885</v>
      </c>
    </row>
    <row r="9">
      <c r="A9" s="10" t="inlineStr">
        <is>
          <t>Median</t>
        </is>
      </c>
      <c r="B9" s="17">
        <f>MEDIAN('Final Project Dataset'!M5:M214)</f>
        <v/>
      </c>
      <c r="D9" s="10" t="inlineStr">
        <is>
          <t>Adjusted R Square</t>
        </is>
      </c>
      <c r="E9" s="28" t="n">
        <v>0.884</v>
      </c>
    </row>
    <row r="10">
      <c r="A10" s="10" t="inlineStr">
        <is>
          <t>Standard Deviation</t>
        </is>
      </c>
      <c r="B10" s="17">
        <f>STDEV.S('Final Project Dataset'!M5:M214)</f>
        <v/>
      </c>
      <c r="D10" s="10" t="inlineStr">
        <is>
          <t>Standard Error</t>
        </is>
      </c>
      <c r="E10" s="28" t="n">
        <v>412.3</v>
      </c>
    </row>
    <row r="11">
      <c r="A11" s="10" t="inlineStr">
        <is>
          <t>Sample Variance</t>
        </is>
      </c>
      <c r="B11" s="17">
        <f>VAR.S('Final Project Dataset'!M5:M214)</f>
        <v/>
      </c>
      <c r="D11" s="10" t="inlineStr">
        <is>
          <t>Observations</t>
        </is>
      </c>
      <c r="E11" s="29" t="n">
        <v>210</v>
      </c>
    </row>
    <row r="12">
      <c r="A12" s="10" t="inlineStr">
        <is>
          <t>Minimum</t>
        </is>
      </c>
      <c r="B12" s="17">
        <f>MIN('Final Project Dataset'!M5:M214)</f>
        <v/>
      </c>
    </row>
    <row r="13">
      <c r="A13" s="10" t="inlineStr">
        <is>
          <t>Maximum</t>
        </is>
      </c>
      <c r="B13" s="17">
        <f>MAX('Final Project Dataset'!M5:M214)</f>
        <v/>
      </c>
    </row>
    <row r="14">
      <c r="A14" s="10" t="inlineStr">
        <is>
          <t>Sum</t>
        </is>
      </c>
      <c r="B14" s="17">
        <f>SUM('Final Project Dataset'!M5:M214)</f>
        <v/>
      </c>
    </row>
    <row r="15">
      <c r="A15" s="10" t="inlineStr">
        <is>
          <t>Count</t>
        </is>
      </c>
      <c r="B15" s="29">
        <f>COUNT('Final Project Dataset'!M5:M214)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2026-10-22T20:02:36Z</dcterms:created>
  <dcterms:modified xmlns:dcterms="http://purl.org/dc/terms/" xmlns:xsi="http://www.w3.org/2001/XMLSchema-instance" xsi:type="dcterms:W3CDTF">2026-10-22T20:02:36Z</dcterms:modified>
</cp:coreProperties>
</file>